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EEE65A6-B7CD-4844-802E-E874B1EB5D02}" xr6:coauthVersionLast="47" xr6:coauthVersionMax="47" xr10:uidLastSave="{00000000-0000-0000-0000-000000000000}"/>
  <bookViews>
    <workbookView xWindow="-108" yWindow="-108" windowWidth="23256" windowHeight="12456" xr2:uid="{D3791953-E105-4F59-BD41-D90D497A5196}"/>
  </bookViews>
  <sheets>
    <sheet name="5월" sheetId="1" r:id="rId1"/>
  </sheets>
  <definedNames>
    <definedName name="_xlnm._FilterDatabase" localSheetId="0" hidden="1">'5월'!$A$1:$Y$205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5" i="1" l="1"/>
  <c r="Q205" i="1" s="1"/>
  <c r="R205" i="1" s="1"/>
  <c r="O204" i="1"/>
  <c r="Q204" i="1" s="1"/>
  <c r="R204" i="1" s="1"/>
  <c r="O203" i="1"/>
  <c r="Q203" i="1" s="1"/>
  <c r="R203" i="1" s="1"/>
  <c r="O202" i="1"/>
  <c r="Q202" i="1" s="1"/>
  <c r="R202" i="1" s="1"/>
  <c r="O201" i="1"/>
  <c r="Q201" i="1" s="1"/>
  <c r="R201" i="1" s="1"/>
  <c r="O200" i="1"/>
  <c r="Q200" i="1" s="1"/>
  <c r="R200" i="1" s="1"/>
  <c r="O199" i="1"/>
  <c r="Q199" i="1" s="1"/>
  <c r="R199" i="1" s="1"/>
  <c r="O198" i="1"/>
  <c r="Q198" i="1" s="1"/>
  <c r="R198" i="1" s="1"/>
  <c r="O197" i="1"/>
  <c r="Q197" i="1" s="1"/>
  <c r="R197" i="1" s="1"/>
  <c r="O196" i="1"/>
  <c r="Q196" i="1" s="1"/>
  <c r="R196" i="1" s="1"/>
  <c r="O195" i="1"/>
  <c r="Q195" i="1" s="1"/>
  <c r="R195" i="1" s="1"/>
  <c r="O194" i="1"/>
  <c r="Q194" i="1" s="1"/>
  <c r="R194" i="1" s="1"/>
  <c r="O193" i="1"/>
  <c r="Q193" i="1" s="1"/>
  <c r="R193" i="1" s="1"/>
  <c r="O192" i="1"/>
  <c r="Q192" i="1" s="1"/>
  <c r="R192" i="1" s="1"/>
  <c r="O191" i="1"/>
  <c r="Q191" i="1" s="1"/>
  <c r="R191" i="1" s="1"/>
  <c r="O190" i="1"/>
  <c r="Q190" i="1" s="1"/>
  <c r="R190" i="1" s="1"/>
  <c r="O189" i="1"/>
  <c r="Q189" i="1" s="1"/>
  <c r="R189" i="1" s="1"/>
  <c r="O188" i="1"/>
  <c r="Q188" i="1" s="1"/>
  <c r="R188" i="1" s="1"/>
  <c r="O187" i="1"/>
  <c r="Q187" i="1" s="1"/>
  <c r="R187" i="1" s="1"/>
  <c r="O186" i="1"/>
  <c r="Q186" i="1" s="1"/>
  <c r="R186" i="1" s="1"/>
  <c r="O185" i="1"/>
  <c r="Q185" i="1" s="1"/>
  <c r="R185" i="1" s="1"/>
  <c r="O184" i="1"/>
  <c r="Q184" i="1" s="1"/>
  <c r="R184" i="1" s="1"/>
  <c r="O183" i="1"/>
  <c r="Q183" i="1" s="1"/>
  <c r="R183" i="1" s="1"/>
  <c r="O182" i="1"/>
  <c r="Q182" i="1" s="1"/>
  <c r="R182" i="1" s="1"/>
  <c r="O181" i="1"/>
  <c r="Q181" i="1" s="1"/>
  <c r="R181" i="1" s="1"/>
  <c r="O180" i="1"/>
  <c r="Q180" i="1" s="1"/>
  <c r="R180" i="1" s="1"/>
  <c r="O179" i="1"/>
  <c r="Q179" i="1" s="1"/>
  <c r="R179" i="1" s="1"/>
  <c r="O178" i="1"/>
  <c r="Q178" i="1" s="1"/>
  <c r="R178" i="1" s="1"/>
  <c r="O177" i="1"/>
  <c r="Q177" i="1" s="1"/>
  <c r="R177" i="1" s="1"/>
  <c r="O176" i="1"/>
  <c r="Q176" i="1" s="1"/>
  <c r="R176" i="1" s="1"/>
  <c r="O175" i="1"/>
  <c r="Q175" i="1" s="1"/>
  <c r="R175" i="1" s="1"/>
  <c r="O174" i="1"/>
  <c r="Q174" i="1" s="1"/>
  <c r="R174" i="1" s="1"/>
  <c r="O173" i="1"/>
  <c r="Q173" i="1" s="1"/>
  <c r="R173" i="1" s="1"/>
  <c r="O172" i="1"/>
  <c r="Q172" i="1" s="1"/>
  <c r="R172" i="1" s="1"/>
  <c r="O171" i="1"/>
  <c r="Q171" i="1" s="1"/>
  <c r="R171" i="1" s="1"/>
  <c r="O170" i="1"/>
  <c r="Q170" i="1" s="1"/>
  <c r="R170" i="1" s="1"/>
  <c r="O169" i="1"/>
  <c r="Q169" i="1" s="1"/>
  <c r="R169" i="1" s="1"/>
  <c r="O168" i="1"/>
  <c r="Q168" i="1" s="1"/>
  <c r="R168" i="1" s="1"/>
  <c r="O167" i="1"/>
  <c r="Q167" i="1" s="1"/>
  <c r="R167" i="1" s="1"/>
  <c r="O166" i="1"/>
  <c r="Q166" i="1" s="1"/>
  <c r="R166" i="1" s="1"/>
  <c r="O165" i="1"/>
  <c r="Q165" i="1" s="1"/>
  <c r="R165" i="1" s="1"/>
  <c r="O164" i="1"/>
  <c r="Q164" i="1" s="1"/>
  <c r="R164" i="1" s="1"/>
  <c r="O163" i="1"/>
  <c r="Q163" i="1" s="1"/>
  <c r="R163" i="1" s="1"/>
  <c r="O162" i="1"/>
  <c r="Q162" i="1" s="1"/>
  <c r="R162" i="1" s="1"/>
  <c r="O161" i="1"/>
  <c r="Q161" i="1" s="1"/>
  <c r="R161" i="1" s="1"/>
  <c r="O160" i="1"/>
  <c r="Q160" i="1" s="1"/>
  <c r="R160" i="1" s="1"/>
  <c r="O159" i="1"/>
  <c r="Q159" i="1" s="1"/>
  <c r="R159" i="1" s="1"/>
  <c r="O158" i="1"/>
  <c r="Q158" i="1" s="1"/>
  <c r="R158" i="1" s="1"/>
  <c r="O157" i="1"/>
  <c r="Q157" i="1" s="1"/>
  <c r="R157" i="1" s="1"/>
  <c r="O156" i="1"/>
  <c r="Q156" i="1" s="1"/>
  <c r="R156" i="1" s="1"/>
  <c r="O155" i="1"/>
  <c r="Q155" i="1" s="1"/>
  <c r="R155" i="1" s="1"/>
  <c r="O154" i="1"/>
  <c r="Q154" i="1" s="1"/>
  <c r="R154" i="1" s="1"/>
  <c r="O153" i="1"/>
  <c r="Q153" i="1" s="1"/>
  <c r="R153" i="1" s="1"/>
  <c r="O152" i="1"/>
  <c r="Q152" i="1" s="1"/>
  <c r="R152" i="1" s="1"/>
  <c r="O151" i="1"/>
  <c r="Q151" i="1" s="1"/>
  <c r="R151" i="1" s="1"/>
  <c r="O150" i="1"/>
  <c r="Q150" i="1" s="1"/>
  <c r="R150" i="1" s="1"/>
  <c r="O149" i="1"/>
  <c r="Q149" i="1" s="1"/>
  <c r="R149" i="1" s="1"/>
  <c r="O148" i="1"/>
  <c r="Q148" i="1" s="1"/>
  <c r="R148" i="1" s="1"/>
  <c r="O147" i="1"/>
  <c r="Q147" i="1" s="1"/>
  <c r="R147" i="1" s="1"/>
  <c r="O146" i="1"/>
  <c r="Q146" i="1" s="1"/>
  <c r="R146" i="1" s="1"/>
  <c r="O145" i="1"/>
  <c r="Q145" i="1" s="1"/>
  <c r="R145" i="1" s="1"/>
  <c r="O144" i="1"/>
  <c r="Q144" i="1" s="1"/>
  <c r="R144" i="1" s="1"/>
  <c r="O143" i="1"/>
  <c r="Q143" i="1" s="1"/>
  <c r="R143" i="1" s="1"/>
  <c r="O142" i="1"/>
  <c r="Q142" i="1" s="1"/>
  <c r="R142" i="1" s="1"/>
  <c r="O141" i="1"/>
  <c r="Q141" i="1" s="1"/>
  <c r="R141" i="1" s="1"/>
  <c r="O140" i="1"/>
  <c r="Q140" i="1" s="1"/>
  <c r="R140" i="1" s="1"/>
  <c r="O139" i="1"/>
  <c r="Q139" i="1" s="1"/>
  <c r="R139" i="1" s="1"/>
  <c r="O138" i="1"/>
  <c r="Q138" i="1" s="1"/>
  <c r="R138" i="1" s="1"/>
  <c r="O137" i="1"/>
  <c r="Q137" i="1" s="1"/>
  <c r="R137" i="1" s="1"/>
  <c r="O136" i="1"/>
  <c r="Q136" i="1" s="1"/>
  <c r="R136" i="1" s="1"/>
  <c r="O135" i="1"/>
  <c r="Q135" i="1" s="1"/>
  <c r="R135" i="1" s="1"/>
  <c r="O134" i="1"/>
  <c r="Q134" i="1" s="1"/>
  <c r="R134" i="1" s="1"/>
  <c r="O133" i="1"/>
  <c r="Q133" i="1" s="1"/>
  <c r="R133" i="1" s="1"/>
  <c r="O132" i="1"/>
  <c r="Q132" i="1" s="1"/>
  <c r="R132" i="1" s="1"/>
  <c r="O131" i="1"/>
  <c r="Q131" i="1" s="1"/>
  <c r="R131" i="1" s="1"/>
  <c r="O130" i="1"/>
  <c r="Q130" i="1" s="1"/>
  <c r="R130" i="1" s="1"/>
  <c r="O129" i="1"/>
  <c r="Q129" i="1" s="1"/>
  <c r="R129" i="1" s="1"/>
  <c r="O128" i="1"/>
  <c r="Q128" i="1" s="1"/>
  <c r="R128" i="1" s="1"/>
  <c r="O127" i="1"/>
  <c r="Q127" i="1" s="1"/>
  <c r="R127" i="1" s="1"/>
  <c r="O126" i="1"/>
  <c r="Q126" i="1" s="1"/>
  <c r="R126" i="1" s="1"/>
  <c r="O125" i="1"/>
  <c r="Q125" i="1" s="1"/>
  <c r="R125" i="1" s="1"/>
  <c r="O124" i="1"/>
  <c r="Q124" i="1" s="1"/>
  <c r="R124" i="1" s="1"/>
  <c r="O123" i="1"/>
  <c r="Q123" i="1" s="1"/>
  <c r="R123" i="1" s="1"/>
  <c r="O122" i="1"/>
  <c r="Q122" i="1" s="1"/>
  <c r="R122" i="1" s="1"/>
  <c r="O121" i="1"/>
  <c r="Q121" i="1" s="1"/>
  <c r="R121" i="1" s="1"/>
  <c r="O120" i="1"/>
  <c r="Q120" i="1" s="1"/>
  <c r="R120" i="1" s="1"/>
  <c r="O119" i="1"/>
  <c r="Q119" i="1" s="1"/>
  <c r="R119" i="1" s="1"/>
  <c r="O118" i="1"/>
  <c r="Q118" i="1" s="1"/>
  <c r="R118" i="1" s="1"/>
  <c r="O117" i="1"/>
  <c r="Q117" i="1" s="1"/>
  <c r="R117" i="1" s="1"/>
  <c r="O116" i="1"/>
  <c r="Q116" i="1" s="1"/>
  <c r="R116" i="1" s="1"/>
  <c r="O115" i="1"/>
  <c r="Q115" i="1" s="1"/>
  <c r="R115" i="1" s="1"/>
  <c r="O114" i="1"/>
  <c r="Q114" i="1" s="1"/>
  <c r="R114" i="1" s="1"/>
  <c r="O113" i="1"/>
  <c r="Q113" i="1" s="1"/>
  <c r="R113" i="1" s="1"/>
  <c r="O112" i="1"/>
  <c r="Q112" i="1" s="1"/>
  <c r="R112" i="1" s="1"/>
  <c r="O111" i="1"/>
  <c r="Q111" i="1" s="1"/>
  <c r="R111" i="1" s="1"/>
  <c r="O110" i="1"/>
  <c r="Q110" i="1" s="1"/>
  <c r="R110" i="1" s="1"/>
  <c r="O109" i="1"/>
  <c r="Q109" i="1" s="1"/>
  <c r="R109" i="1" s="1"/>
  <c r="O108" i="1"/>
  <c r="Q108" i="1" s="1"/>
  <c r="R108" i="1" s="1"/>
  <c r="O107" i="1"/>
  <c r="Q107" i="1" s="1"/>
  <c r="R107" i="1" s="1"/>
  <c r="O106" i="1"/>
  <c r="Q106" i="1" s="1"/>
  <c r="R106" i="1" s="1"/>
  <c r="O105" i="1"/>
  <c r="Q105" i="1" s="1"/>
  <c r="R105" i="1" s="1"/>
  <c r="O104" i="1"/>
  <c r="Q104" i="1" s="1"/>
  <c r="R104" i="1" s="1"/>
  <c r="O103" i="1"/>
  <c r="Q103" i="1" s="1"/>
  <c r="R103" i="1" s="1"/>
  <c r="O102" i="1"/>
  <c r="Q102" i="1" s="1"/>
  <c r="R102" i="1" s="1"/>
  <c r="O101" i="1"/>
  <c r="Q101" i="1" s="1"/>
  <c r="R101" i="1" s="1"/>
  <c r="O100" i="1"/>
  <c r="Q100" i="1" s="1"/>
  <c r="R100" i="1" s="1"/>
  <c r="O99" i="1"/>
  <c r="Q99" i="1" s="1"/>
  <c r="R99" i="1" s="1"/>
  <c r="O98" i="1"/>
  <c r="Q98" i="1" s="1"/>
  <c r="R98" i="1" s="1"/>
  <c r="O97" i="1"/>
  <c r="Q97" i="1" s="1"/>
  <c r="R97" i="1" s="1"/>
  <c r="O96" i="1"/>
  <c r="Q96" i="1" s="1"/>
  <c r="R96" i="1" s="1"/>
  <c r="O95" i="1"/>
  <c r="Q95" i="1" s="1"/>
  <c r="R95" i="1" s="1"/>
  <c r="O94" i="1"/>
  <c r="Q94" i="1" s="1"/>
  <c r="R94" i="1" s="1"/>
  <c r="O93" i="1"/>
  <c r="Q93" i="1" s="1"/>
  <c r="R93" i="1" s="1"/>
  <c r="O92" i="1"/>
  <c r="Q92" i="1" s="1"/>
  <c r="R92" i="1" s="1"/>
  <c r="O91" i="1"/>
  <c r="Q91" i="1" s="1"/>
  <c r="R91" i="1" s="1"/>
  <c r="O90" i="1"/>
  <c r="Q90" i="1" s="1"/>
  <c r="R90" i="1" s="1"/>
  <c r="O89" i="1"/>
  <c r="Q89" i="1" s="1"/>
  <c r="R89" i="1" s="1"/>
  <c r="O88" i="1"/>
  <c r="Q88" i="1" s="1"/>
  <c r="R88" i="1" s="1"/>
  <c r="O87" i="1"/>
  <c r="Q87" i="1" s="1"/>
  <c r="R87" i="1" s="1"/>
  <c r="O86" i="1"/>
  <c r="Q86" i="1" s="1"/>
  <c r="R86" i="1" s="1"/>
  <c r="O85" i="1"/>
  <c r="Q85" i="1" s="1"/>
  <c r="R85" i="1" s="1"/>
  <c r="O84" i="1"/>
  <c r="Q84" i="1" s="1"/>
  <c r="R84" i="1" s="1"/>
  <c r="O83" i="1"/>
  <c r="Q83" i="1" s="1"/>
  <c r="R83" i="1" s="1"/>
  <c r="O82" i="1"/>
  <c r="Q82" i="1" s="1"/>
  <c r="R82" i="1" s="1"/>
  <c r="O81" i="1"/>
  <c r="Q81" i="1" s="1"/>
  <c r="R81" i="1" s="1"/>
  <c r="O80" i="1"/>
  <c r="Q80" i="1" s="1"/>
  <c r="R80" i="1" s="1"/>
  <c r="O79" i="1"/>
  <c r="Q79" i="1" s="1"/>
  <c r="R79" i="1" s="1"/>
  <c r="O78" i="1"/>
  <c r="Q78" i="1" s="1"/>
  <c r="R78" i="1" s="1"/>
  <c r="O77" i="1"/>
  <c r="Q77" i="1" s="1"/>
  <c r="R77" i="1" s="1"/>
  <c r="O76" i="1"/>
  <c r="Q76" i="1" s="1"/>
  <c r="R76" i="1" s="1"/>
  <c r="O75" i="1"/>
  <c r="Q75" i="1" s="1"/>
  <c r="R75" i="1" s="1"/>
  <c r="O74" i="1"/>
  <c r="Q74" i="1" s="1"/>
  <c r="R74" i="1" s="1"/>
  <c r="O73" i="1"/>
  <c r="Q73" i="1" s="1"/>
  <c r="R73" i="1" s="1"/>
  <c r="O72" i="1"/>
  <c r="Q72" i="1" s="1"/>
  <c r="R72" i="1" s="1"/>
  <c r="O71" i="1"/>
  <c r="Q71" i="1" s="1"/>
  <c r="R71" i="1" s="1"/>
  <c r="O70" i="1"/>
  <c r="Q70" i="1" s="1"/>
  <c r="R70" i="1" s="1"/>
  <c r="O69" i="1"/>
  <c r="Q69" i="1" s="1"/>
  <c r="R69" i="1" s="1"/>
  <c r="O68" i="1"/>
  <c r="Q68" i="1" s="1"/>
  <c r="R68" i="1" s="1"/>
  <c r="O67" i="1"/>
  <c r="Q67" i="1" s="1"/>
  <c r="R67" i="1" s="1"/>
  <c r="O66" i="1"/>
  <c r="Q66" i="1" s="1"/>
  <c r="R66" i="1" s="1"/>
  <c r="O65" i="1"/>
  <c r="Q65" i="1" s="1"/>
  <c r="R65" i="1" s="1"/>
  <c r="O64" i="1"/>
  <c r="Q64" i="1" s="1"/>
  <c r="R64" i="1" s="1"/>
  <c r="O63" i="1"/>
  <c r="Q63" i="1" s="1"/>
  <c r="R63" i="1" s="1"/>
  <c r="O62" i="1"/>
  <c r="Q62" i="1" s="1"/>
  <c r="R62" i="1" s="1"/>
  <c r="O61" i="1"/>
  <c r="Q61" i="1" s="1"/>
  <c r="R61" i="1" s="1"/>
  <c r="O60" i="1"/>
  <c r="Q60" i="1" s="1"/>
  <c r="R60" i="1" s="1"/>
  <c r="O59" i="1"/>
  <c r="Q59" i="1" s="1"/>
  <c r="R59" i="1" s="1"/>
  <c r="O58" i="1"/>
  <c r="Q58" i="1" s="1"/>
  <c r="R58" i="1" s="1"/>
  <c r="O57" i="1"/>
  <c r="Q57" i="1" s="1"/>
  <c r="R57" i="1" s="1"/>
  <c r="O56" i="1"/>
  <c r="Q56" i="1" s="1"/>
  <c r="R56" i="1" s="1"/>
  <c r="O55" i="1"/>
  <c r="Q55" i="1" s="1"/>
  <c r="R55" i="1" s="1"/>
  <c r="O54" i="1"/>
  <c r="Q54" i="1" s="1"/>
  <c r="R54" i="1" s="1"/>
  <c r="O53" i="1"/>
  <c r="Q53" i="1" s="1"/>
  <c r="R53" i="1" s="1"/>
  <c r="O52" i="1"/>
  <c r="Q52" i="1" s="1"/>
  <c r="R52" i="1" s="1"/>
  <c r="O51" i="1"/>
  <c r="Q51" i="1" s="1"/>
  <c r="R51" i="1" s="1"/>
  <c r="O50" i="1"/>
  <c r="Q50" i="1" s="1"/>
  <c r="R50" i="1" s="1"/>
  <c r="O49" i="1"/>
  <c r="Q49" i="1" s="1"/>
  <c r="R49" i="1" s="1"/>
  <c r="O48" i="1"/>
  <c r="Q48" i="1" s="1"/>
  <c r="R48" i="1" s="1"/>
  <c r="O47" i="1"/>
  <c r="Q47" i="1" s="1"/>
  <c r="R47" i="1" s="1"/>
  <c r="O46" i="1"/>
  <c r="Q46" i="1" s="1"/>
  <c r="R46" i="1" s="1"/>
  <c r="O45" i="1"/>
  <c r="Q45" i="1" s="1"/>
  <c r="R45" i="1" s="1"/>
  <c r="O44" i="1"/>
  <c r="Q44" i="1" s="1"/>
  <c r="R44" i="1" s="1"/>
  <c r="O43" i="1"/>
  <c r="Q43" i="1" s="1"/>
  <c r="R43" i="1" s="1"/>
  <c r="O42" i="1"/>
  <c r="Q42" i="1" s="1"/>
  <c r="R42" i="1" s="1"/>
  <c r="O41" i="1"/>
  <c r="Q41" i="1" s="1"/>
  <c r="R41" i="1" s="1"/>
  <c r="O40" i="1"/>
  <c r="Q40" i="1" s="1"/>
  <c r="R40" i="1" s="1"/>
  <c r="O39" i="1"/>
  <c r="Q39" i="1" s="1"/>
  <c r="R39" i="1" s="1"/>
  <c r="O38" i="1"/>
  <c r="Q38" i="1" s="1"/>
  <c r="R38" i="1" s="1"/>
  <c r="O37" i="1"/>
  <c r="Q37" i="1" s="1"/>
  <c r="R37" i="1" s="1"/>
  <c r="O36" i="1"/>
  <c r="Q36" i="1" s="1"/>
  <c r="R36" i="1" s="1"/>
  <c r="O35" i="1"/>
  <c r="Q35" i="1" s="1"/>
  <c r="R35" i="1" s="1"/>
  <c r="O34" i="1"/>
  <c r="Q34" i="1" s="1"/>
  <c r="R34" i="1" s="1"/>
  <c r="O33" i="1"/>
  <c r="Q33" i="1" s="1"/>
  <c r="R33" i="1" s="1"/>
  <c r="O32" i="1"/>
  <c r="Q32" i="1" s="1"/>
  <c r="R32" i="1" s="1"/>
  <c r="O31" i="1"/>
  <c r="Q31" i="1" s="1"/>
  <c r="R31" i="1" s="1"/>
  <c r="O30" i="1"/>
  <c r="Q30" i="1" s="1"/>
  <c r="R30" i="1" s="1"/>
  <c r="O29" i="1"/>
  <c r="Q29" i="1" s="1"/>
  <c r="R29" i="1" s="1"/>
  <c r="O28" i="1"/>
  <c r="Q28" i="1" s="1"/>
  <c r="R28" i="1" s="1"/>
  <c r="O27" i="1"/>
  <c r="Q27" i="1" s="1"/>
  <c r="R27" i="1" s="1"/>
  <c r="O26" i="1"/>
  <c r="Q26" i="1" s="1"/>
  <c r="R26" i="1" s="1"/>
  <c r="O25" i="1"/>
  <c r="Q25" i="1" s="1"/>
  <c r="R25" i="1" s="1"/>
  <c r="O24" i="1"/>
  <c r="Q24" i="1" s="1"/>
  <c r="R24" i="1" s="1"/>
  <c r="O23" i="1"/>
  <c r="Q23" i="1" s="1"/>
  <c r="R23" i="1" s="1"/>
  <c r="O22" i="1"/>
  <c r="Q22" i="1" s="1"/>
  <c r="R22" i="1" s="1"/>
  <c r="O21" i="1"/>
  <c r="Q21" i="1" s="1"/>
  <c r="R21" i="1" s="1"/>
  <c r="O20" i="1"/>
  <c r="Q20" i="1" s="1"/>
  <c r="R20" i="1" s="1"/>
  <c r="O19" i="1"/>
  <c r="Q19" i="1" s="1"/>
  <c r="R19" i="1" s="1"/>
  <c r="O18" i="1"/>
  <c r="Q18" i="1" s="1"/>
  <c r="R18" i="1" s="1"/>
  <c r="O17" i="1"/>
  <c r="Q17" i="1" s="1"/>
  <c r="R17" i="1" s="1"/>
  <c r="O16" i="1"/>
  <c r="Q16" i="1" s="1"/>
  <c r="R16" i="1" s="1"/>
  <c r="O15" i="1"/>
  <c r="Q15" i="1" s="1"/>
  <c r="R15" i="1" s="1"/>
  <c r="O14" i="1"/>
  <c r="Q14" i="1" s="1"/>
  <c r="R14" i="1" s="1"/>
  <c r="O13" i="1"/>
  <c r="Q13" i="1" s="1"/>
  <c r="R13" i="1" s="1"/>
  <c r="O12" i="1"/>
  <c r="Q12" i="1" s="1"/>
  <c r="R12" i="1" s="1"/>
  <c r="O11" i="1"/>
  <c r="Q11" i="1" s="1"/>
  <c r="R11" i="1" s="1"/>
  <c r="O10" i="1"/>
  <c r="Q10" i="1" s="1"/>
  <c r="R10" i="1" s="1"/>
  <c r="O9" i="1"/>
  <c r="Q9" i="1" s="1"/>
  <c r="R9" i="1" s="1"/>
  <c r="O8" i="1"/>
  <c r="Q8" i="1" s="1"/>
  <c r="R8" i="1" s="1"/>
  <c r="O7" i="1"/>
  <c r="Q7" i="1" s="1"/>
  <c r="R7" i="1" s="1"/>
  <c r="O6" i="1"/>
  <c r="Q6" i="1" s="1"/>
  <c r="R6" i="1" s="1"/>
  <c r="O5" i="1"/>
  <c r="Q5" i="1" s="1"/>
  <c r="R5" i="1" s="1"/>
  <c r="O4" i="1"/>
  <c r="Q4" i="1" s="1"/>
  <c r="R4" i="1" s="1"/>
  <c r="O3" i="1"/>
  <c r="Q3" i="1" s="1"/>
  <c r="R3" i="1" s="1"/>
  <c r="U2" i="1"/>
  <c r="Y2" i="1" s="1"/>
  <c r="T67" i="1" s="1"/>
  <c r="T2" i="1"/>
  <c r="O2" i="1"/>
  <c r="Q2" i="1" s="1"/>
  <c r="R2" i="1" s="1"/>
  <c r="T35" i="1" l="1"/>
  <c r="T30" i="1"/>
  <c r="T51" i="1"/>
  <c r="T65" i="1"/>
  <c r="T63" i="1"/>
  <c r="T47" i="1"/>
  <c r="T31" i="1"/>
  <c r="T59" i="1"/>
  <c r="T43" i="1"/>
  <c r="T55" i="1"/>
  <c r="T39" i="1"/>
  <c r="T34" i="1"/>
  <c r="T38" i="1"/>
  <c r="T42" i="1"/>
  <c r="T46" i="1"/>
  <c r="T50" i="1"/>
  <c r="T54" i="1"/>
  <c r="T58" i="1"/>
  <c r="T62" i="1"/>
  <c r="T66" i="1"/>
  <c r="T29" i="1"/>
  <c r="T33" i="1"/>
  <c r="T37" i="1"/>
  <c r="T41" i="1"/>
  <c r="T45" i="1"/>
  <c r="T49" i="1"/>
  <c r="T53" i="1"/>
  <c r="T57" i="1"/>
  <c r="T61" i="1"/>
  <c r="T205" i="1"/>
  <c r="T204" i="1"/>
  <c r="T203" i="1"/>
  <c r="T202" i="1"/>
  <c r="T201" i="1"/>
  <c r="T200" i="1"/>
  <c r="T199" i="1"/>
  <c r="T198" i="1"/>
  <c r="T197" i="1"/>
  <c r="T196" i="1"/>
  <c r="T195" i="1"/>
  <c r="T194" i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32" i="1"/>
  <c r="T36" i="1"/>
  <c r="T40" i="1"/>
  <c r="T44" i="1"/>
  <c r="T48" i="1"/>
  <c r="T52" i="1"/>
  <c r="T56" i="1"/>
  <c r="T60" i="1"/>
  <c r="T64" i="1"/>
  <c r="T6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박한솔</author>
    <author>김민경</author>
  </authors>
  <commentList>
    <comment ref="A1" authorId="0" shapeId="0" xr:uid="{9A80CB18-3424-4F31-90FC-D2BB54DE1B86}">
      <text>
        <r>
          <rPr>
            <b/>
            <sz val="9"/>
            <color indexed="81"/>
            <rFont val="Tahoma"/>
            <family val="2"/>
          </rPr>
          <t>일자
* 입력내용
   - 거래가 발생한 일자를 입력합니다.
   - 입력하지 않을 경우, 입력화면설정의 기본우선순위에 따라 일자가 입력됩니다.
* 입력글자제한
   - YYYYMMDD</t>
        </r>
      </text>
    </comment>
    <comment ref="B1" authorId="0" shapeId="0" xr:uid="{C95D3127-E6F9-40C0-A667-5EA26F44EBD2}">
      <text>
        <r>
          <rPr>
            <b/>
            <sz val="9"/>
            <color indexed="81"/>
            <rFont val="Tahoma"/>
            <family val="2"/>
          </rPr>
          <t>순번
* 입력내용
- 동일한 전표로 묶고자 하는 경우 동일 순번을 부여합니다.
- 입력된 순번 및 전표묶음기준 설정에 따라 한 장의 전표로 처리됩니다.
* 입력글자제한
- 최대 4자</t>
        </r>
      </text>
    </comment>
    <comment ref="C1" authorId="0" shapeId="0" xr:uid="{A626B89C-FC4E-4856-9731-5B0A5AADFA4F}">
      <text>
        <r>
          <rPr>
            <b/>
            <sz val="9"/>
            <color indexed="81"/>
            <rFont val="Tahoma"/>
            <family val="2"/>
          </rPr>
          <t>거래처코드
* 입력내용
   - 전표자료의 거래처코드를 입력합니다.
   - 거래처코드만 입력한 경우, 자동으로 거래처명이 입력됩니다.
   - 거래처명만 입력하는 경우, 일치하는 거래처가 있으면 자동으로 거래처코드가 입력됩니다.
* 입력글자제한
   - 기 등록된 거래처코드를 입력합니다.
   - 최대 30자</t>
        </r>
      </text>
    </comment>
    <comment ref="D1" authorId="0" shapeId="0" xr:uid="{F2D1EC09-0B84-40BA-85E3-45951D2A8530}">
      <text>
        <r>
          <rPr>
            <b/>
            <sz val="9"/>
            <color indexed="81"/>
            <rFont val="Tahoma"/>
            <family val="2"/>
          </rPr>
          <t>거래처명
* 입력내용
   - 전표자료의 거래처명을 입력합니다.
   - 거래처코드만 입력한 경우, 자동으로 거래처명이 입력됩니다.
   - 거래처명만 입력하는 경우, 일치하는 거래처가 있으면 자동으로 거래처코드가 입력됩니다.
* 입력글자제한
   - 최대 100자</t>
        </r>
      </text>
    </comment>
    <comment ref="E1" authorId="0" shapeId="0" xr:uid="{6CE769E9-8589-4570-B3FC-BEF5B8340778}">
      <text>
        <r>
          <rPr>
            <b/>
            <sz val="9"/>
            <color indexed="81"/>
            <rFont val="Tahoma"/>
            <family val="2"/>
          </rPr>
          <t>담당자
* 입력내용
   - 전표자료를 담당하는 담당자코드 또는 명을 입력합니다.
* 입력글자제한
   - 기 등록된 담당자코드를 입력합니다.
   - 최대 코드 30자 , 명 50자</t>
        </r>
      </text>
    </comment>
    <comment ref="F1" authorId="0" shapeId="0" xr:uid="{D22C9F14-8FE9-40C0-A120-3860DF58A127}">
      <text>
        <r>
          <rPr>
            <b/>
            <sz val="9"/>
            <color indexed="81"/>
            <rFont val="Tahoma"/>
            <family val="2"/>
          </rPr>
          <t>창고코드
* 입력내용
 - 창고코드를 입력합니다. 
 - 기 등록된 창고코드를 입력합니다.
* 입력글자제한
 - 최대 코드 5자</t>
        </r>
      </text>
    </comment>
    <comment ref="G1" authorId="0" shapeId="0" xr:uid="{0DC0F18A-B588-488F-B80D-58F1DDBF7C83}">
      <text>
        <r>
          <rPr>
            <b/>
            <sz val="9"/>
            <color indexed="81"/>
            <rFont val="Tahoma"/>
            <family val="2"/>
          </rPr>
          <t>거래유형
* 입력내용
- 거래전표의 거래유형코드를 입력합니다.
- 입력하지 않을 경우, 기본양식의 기본값이 적용됩니다.
* 입력글자제한
- 기 등록된 거래유형코드 두 자리를 입력합니다.
- 21(부가세율 적용) / 22(부가세율 미적용)</t>
        </r>
      </text>
    </comment>
    <comment ref="H1" authorId="0" shapeId="0" xr:uid="{5A012187-E851-4ED1-8B21-6E1126845F10}">
      <text>
        <r>
          <rPr>
            <b/>
            <sz val="9"/>
            <color indexed="81"/>
            <rFont val="돋움"/>
            <family val="3"/>
            <charset val="129"/>
          </rPr>
          <t xml:space="preserve">외화코드
달려:00001
위안:00002
원화:입력x
</t>
        </r>
      </text>
    </comment>
    <comment ref="I1" authorId="0" shapeId="0" xr:uid="{DCFD51B3-8CFD-43EC-B8B6-3C6EAEC13D5C}">
      <text>
        <r>
          <rPr>
            <b/>
            <sz val="9"/>
            <color indexed="81"/>
            <rFont val="Tahoma"/>
            <family val="2"/>
          </rPr>
          <t>환율
* 입력내용
   - 외화코드를 입력한 경우 거래시점의 환율을 입력합니다.
* 입력글자제한
   - 정수 최대 14자리
   - 소수 최대 4자리</t>
        </r>
      </text>
    </comment>
    <comment ref="J1" authorId="0" shapeId="0" xr:uid="{0F7BB71E-F897-4380-BE35-87E2719D62EF}">
      <text>
        <r>
          <rPr>
            <b/>
            <sz val="9"/>
            <color indexed="81"/>
            <rFont val="Tahoma"/>
            <family val="2"/>
          </rPr>
          <t>프로젝트
* 입력내용
   - 거래자료의 프로젝트코드 또는 명을 입력합니다.
* 입력글자제한
   - 기 등록된 프로젝트를 입력합니다.
   - 최대 코드 14자 , 명 50자</t>
        </r>
      </text>
    </comment>
    <comment ref="K1" authorId="0" shapeId="0" xr:uid="{7D4DBDE1-9AA8-4FB9-8CE5-B3965393939D}">
      <text>
        <r>
          <rPr>
            <b/>
            <sz val="9"/>
            <color indexed="81"/>
            <rFont val="Tahoma"/>
            <family val="2"/>
          </rPr>
          <t>품목코드
* 입력내용
   - 전표에 등록할 품목코드를 입력합니다.
   - 바코드를 입력해도 품목정보를 인식할 수 있습니다.
   - 품목코드만 입력한 경우, 자동으로 품목명이 입력됩니다.
   - 품목명만 입력하는 경우, 일치하는 품목이 있으면 자동으로 품목코드가 입력됩니다.
* 입력글자제한
   - 기 등록된 픔목코드를 입력합니다.
   - 최대 20자</t>
        </r>
      </text>
    </comment>
    <comment ref="L1" authorId="0" shapeId="0" xr:uid="{23FCBC7D-B7F6-4E61-BDE3-3490F24EE39A}">
      <text>
        <r>
          <rPr>
            <b/>
            <sz val="9"/>
            <color indexed="81"/>
            <rFont val="Tahoma"/>
            <family val="2"/>
          </rPr>
          <t>품목명
* 입력내용
   - 전표에 등록하는 품목의 명칭을 입력합니다.
   - 품목코드만 입력한 경우, 자동으로 품목명이 입력됩니다.
   - 품목명만 입력하는 경우, 일치하는 품목이 있으면 자동으로 품목코드가 입력됩니다.
* 입력글자제한
   - 최대 100자</t>
        </r>
      </text>
    </comment>
    <comment ref="M1" authorId="0" shapeId="0" xr:uid="{69B541C7-88FB-4A46-9BD2-924D952BD167}">
      <text>
        <r>
          <rPr>
            <b/>
            <sz val="9"/>
            <color indexed="81"/>
            <rFont val="Tahoma"/>
            <family val="2"/>
          </rPr>
          <t>규격
* 입력내용
   - 전표에 등록하는 품목의 규격을 입력합니다. 
* 입력글자제한
    - 최대 100자</t>
        </r>
      </text>
    </comment>
    <comment ref="N1" authorId="0" shapeId="0" xr:uid="{ED23E718-0E0C-4145-9778-F587AE897331}">
      <text>
        <r>
          <rPr>
            <b/>
            <sz val="9"/>
            <color indexed="81"/>
            <rFont val="Tahoma"/>
            <family val="2"/>
          </rPr>
          <t>수량
* 입력내용
   - 품목의 입/출고수량을 입력합니다.
* 입력글자제한
   - 정수: 최대 12자리
   - 소수: 최대 6자리</t>
        </r>
      </text>
    </comment>
    <comment ref="O1" authorId="0" shapeId="0" xr:uid="{F0F1CE52-5F34-4F23-A62E-F4BB2C63A172}">
      <text>
        <r>
          <rPr>
            <b/>
            <sz val="9"/>
            <color indexed="81"/>
            <rFont val="Tahoma"/>
            <family val="2"/>
          </rPr>
          <t>단가
* 입력내용
   - 품목의 거래단가를 입력합니다.
   - 입력하지 않을 경우 0원 처리됩니다. 
* 입력글자제한
   - 정수 최대 12자리
   - 소수 최대 0자리</t>
        </r>
      </text>
    </comment>
    <comment ref="P1" authorId="0" shapeId="0" xr:uid="{5F39AA76-EF10-45A9-B60D-60FB723C00C9}">
      <text>
        <r>
          <rPr>
            <b/>
            <sz val="9"/>
            <color indexed="81"/>
            <rFont val="Tahoma"/>
            <family val="2"/>
          </rPr>
          <t>외화금액
* 입력내용
   - 외화거래인 경우 품목의 외화금액을 입력합니다.
   - 입력하지 않을 경우 0원 처리됩니다.
   - 수량, 단가, 환율을 입력해도 외화금액이 자동계산 되지는 않습니다.
* 입력글자제한
   - 정수 최대 15자리
   - 소수 최대 4자리</t>
        </r>
      </text>
    </comment>
    <comment ref="Q1" authorId="0" shapeId="0" xr:uid="{7259A129-26DE-4CB8-90BA-DA2CAD855DCE}">
      <text>
        <r>
          <rPr>
            <b/>
            <sz val="9"/>
            <color indexed="81"/>
            <rFont val="Tahoma"/>
            <family val="2"/>
          </rPr>
          <t>공급가액
* 입력내용
   - 품목의 공급가액을 입력합니다.
   - 입력하지 않을 경우 0원 처리됩니다. 
   - 수량, 단가를 입력해도 공급가액이 자동계산 되지는 않습니다.
* 입력글자제한
   - 정수 최대 12자리
   - 소수 최대 0자리</t>
        </r>
      </text>
    </comment>
    <comment ref="R1" authorId="0" shapeId="0" xr:uid="{2A9333F4-D121-4DBB-8621-C819605A0285}">
      <text>
        <r>
          <rPr>
            <b/>
            <sz val="9"/>
            <color indexed="81"/>
            <rFont val="Tahoma"/>
            <family val="2"/>
          </rPr>
          <t>부가세
* 입력내용
   - 품목의 부가세액을 입력합니다.
   - 입력하지 않을 경우 0원 처리됩니다.
   - 공급가액을 입력해도 부가세액이 자동계산 되지는 않습니다.
* 입력글자제한
   - 정수 최대 12자리
   - 소수 최대 0자리</t>
        </r>
      </text>
    </comment>
    <comment ref="S1" authorId="0" shapeId="0" xr:uid="{5C116B9E-A13C-4490-A490-7E91EF1DA33E}">
      <text>
        <r>
          <rPr>
            <b/>
            <sz val="9"/>
            <color indexed="81"/>
            <rFont val="Tahoma"/>
            <family val="2"/>
          </rPr>
          <t>적요
* 입력내용
   - 거래품목에 대한 특이사항 및 메모사항을 입력합니다.
   - 별도의 입력형식은 없으며, 텍스트 형태로 자유롭게 입력합니다.
* 입력글자제한
   - 최대 200자</t>
        </r>
      </text>
    </comment>
    <comment ref="T1" authorId="0" shapeId="0" xr:uid="{B9A5CBD1-3303-461D-99BD-ABB1AED0AA9B}">
      <text>
        <r>
          <rPr>
            <b/>
            <sz val="9"/>
            <color indexed="81"/>
            <rFont val="Tahoma"/>
            <family val="2"/>
          </rPr>
          <t>부대비용
* 입력내용
   - 거래품목에 추가적으로 발생한 비용을 입력합니다. (택배비, 인지대 등)
   - 거래 전체에 대해 비용이 발생한 경우, 품목별로 직접 안분하여 입력합니다.
* 입력글자제한
   - 정수 12자리
   - 소수 0자리</t>
        </r>
      </text>
    </comment>
    <comment ref="U1" authorId="0" shapeId="0" xr:uid="{C6AEF847-81FB-4674-9E38-FA8516854DCC}">
      <text>
        <r>
          <rPr>
            <b/>
            <sz val="9"/>
            <color indexed="81"/>
            <rFont val="Tahoma"/>
            <family val="2"/>
          </rPr>
          <t>추가숫자형식1(하단)
* 입력내용
- 부가정보를 입력합니다.
* 입력글자제한
- 최대 정수 15자, 최대 소수 6자</t>
        </r>
      </text>
    </comment>
    <comment ref="V1" authorId="0" shapeId="0" xr:uid="{1C100B96-D403-4F4B-BD29-9048B96385D8}">
      <text>
        <r>
          <rPr>
            <b/>
            <sz val="9"/>
            <color indexed="81"/>
            <rFont val="Tahoma"/>
            <family val="2"/>
          </rPr>
          <t>추가숫자형식2(하단)
* 입력내용
- 부가정보를 입력합니다.
* 입력글자제한
- 최대 정수 15자, 최대 소수 6자</t>
        </r>
      </text>
    </comment>
    <comment ref="W1" authorId="0" shapeId="0" xr:uid="{E888B8C7-4332-4960-8390-46ED485B97D5}">
      <text>
        <r>
          <rPr>
            <b/>
            <sz val="9"/>
            <color indexed="81"/>
            <rFont val="Tahoma"/>
            <family val="2"/>
          </rPr>
          <t>추가숫자형식3(하단)
* 입력내용
- 부가정보를 입력합니다.
* 입력글자제한
- 최대 정수 15자, 최대 소수 6자</t>
        </r>
      </text>
    </comment>
    <comment ref="X1" authorId="0" shapeId="0" xr:uid="{C3CC6C6A-EDAE-4580-8F24-F1431A4839F4}">
      <text>
        <r>
          <rPr>
            <b/>
            <sz val="9"/>
            <color indexed="81"/>
            <rFont val="Tahoma"/>
            <family val="2"/>
          </rPr>
          <t>추가숫자형식4(하단)
* 입력내용
- 부가정보를 입력합니다.
* 입력글자제한
- 최대 정수 15자, 최대 소수 6자</t>
        </r>
      </text>
    </comment>
    <comment ref="Y2" authorId="1" shapeId="0" xr:uid="{FD28BF66-8929-4A09-9AB5-DF8E952CEE4A}">
      <text>
        <r>
          <rPr>
            <b/>
            <sz val="9"/>
            <color indexed="81"/>
            <rFont val="Tahoma"/>
            <family val="2"/>
          </rPr>
          <t>BL NO
XMCCLINC26050074</t>
        </r>
      </text>
    </comment>
  </commentList>
</comments>
</file>

<file path=xl/sharedStrings.xml><?xml version="1.0" encoding="utf-8"?>
<sst xmlns="http://schemas.openxmlformats.org/spreadsheetml/2006/main" count="1044" uniqueCount="249">
  <si>
    <t>일자</t>
  </si>
  <si>
    <t>순번</t>
  </si>
  <si>
    <t>거래처코드</t>
  </si>
  <si>
    <t>거래처명</t>
  </si>
  <si>
    <t>담당자</t>
  </si>
  <si>
    <t>입고창고</t>
  </si>
  <si>
    <t>거래유형</t>
  </si>
  <si>
    <t>통화</t>
  </si>
  <si>
    <t>환율</t>
  </si>
  <si>
    <t>프로젝트</t>
  </si>
  <si>
    <t>품목코드</t>
  </si>
  <si>
    <t>품목명</t>
  </si>
  <si>
    <t>규격명</t>
  </si>
  <si>
    <t>수량</t>
    <phoneticPr fontId="3" type="noConversion"/>
  </si>
  <si>
    <t>단가</t>
  </si>
  <si>
    <t>외화금액</t>
  </si>
  <si>
    <t>공급가액</t>
  </si>
  <si>
    <t>부가세</t>
  </si>
  <si>
    <t>적요</t>
  </si>
  <si>
    <t>부대비용</t>
  </si>
  <si>
    <t>운반비</t>
  </si>
  <si>
    <t>보관비</t>
  </si>
  <si>
    <t>수수료</t>
  </si>
  <si>
    <t>기타</t>
  </si>
  <si>
    <t>100</t>
  </si>
  <si>
    <t>00001</t>
    <phoneticPr fontId="3" type="noConversion"/>
  </si>
  <si>
    <t>BD1SRNU001WT270</t>
  </si>
  <si>
    <t>글라이드</t>
  </si>
  <si>
    <t>BD1SRNU001WT265</t>
  </si>
  <si>
    <t>BD1SRNU001WT260</t>
  </si>
  <si>
    <t>BD1SRNU001WT255</t>
  </si>
  <si>
    <t>BD1SRNU001WT285</t>
  </si>
  <si>
    <t>BD1SRNU001WT280</t>
  </si>
  <si>
    <t>아쿠아슈즈 스파이더 V2</t>
  </si>
  <si>
    <t>BB2WAQU008BK260</t>
  </si>
  <si>
    <t>BB2WAQU008BK270</t>
  </si>
  <si>
    <t>BB2WAQU008BK240</t>
  </si>
  <si>
    <t>BA02010129NG270</t>
  </si>
  <si>
    <t>밸롭아쿠아슈즈-블럭</t>
  </si>
  <si>
    <t>BA02010129NG250</t>
  </si>
  <si>
    <t>BA02010129NG240</t>
  </si>
  <si>
    <t>BA02010129MT230</t>
  </si>
  <si>
    <t>BA02010129BK250</t>
  </si>
  <si>
    <t>BA02010129MT240</t>
  </si>
  <si>
    <t>BA02010129BK280</t>
  </si>
  <si>
    <t>BA02010129BK260</t>
  </si>
  <si>
    <t>BA02010129BK270</t>
  </si>
  <si>
    <t>BA07011027WT265</t>
  </si>
  <si>
    <t>밸롭스니커즈-봄버 에어 WH255~</t>
  </si>
  <si>
    <t>BA07012027WT245</t>
  </si>
  <si>
    <t>밸롭스니커즈-봄버 에어 WH</t>
  </si>
  <si>
    <t>BA07012027WT235</t>
  </si>
  <si>
    <t>밸롭스니커즈-봄버 에어</t>
  </si>
  <si>
    <t>BA07010027BK230</t>
  </si>
  <si>
    <t>BA07010027BE265</t>
  </si>
  <si>
    <t>BA07010027BE235</t>
  </si>
  <si>
    <t>BA07010027BE250</t>
  </si>
  <si>
    <t>BA07010027BE230</t>
  </si>
  <si>
    <t>BA07010174OW250</t>
  </si>
  <si>
    <t>밸롭 티바트2.0 그라데이션</t>
  </si>
  <si>
    <t>BA07010174OW255</t>
  </si>
  <si>
    <t>BA07010174OW235</t>
  </si>
  <si>
    <t>BA07010174OW265</t>
  </si>
  <si>
    <t>BA07010174OW230</t>
  </si>
  <si>
    <t>BA07010174BK235</t>
  </si>
  <si>
    <t>BD1LADW003BK240</t>
  </si>
  <si>
    <t>밸롭 칼로링 다이어트 지압 슬리퍼 (올리브영)</t>
  </si>
  <si>
    <t>BD1LADW003GY230</t>
  </si>
  <si>
    <t>BD1LADW003BK230</t>
  </si>
  <si>
    <t>BD1LADW003GY250</t>
  </si>
  <si>
    <t>BD1LADW003BK250</t>
  </si>
  <si>
    <t>BD1LADW003GY240</t>
  </si>
  <si>
    <t>밸롭 칼로링 다이어트 지압 슬리퍼</t>
  </si>
  <si>
    <t>BA07012159BK230</t>
  </si>
  <si>
    <t>BA02010124PU240</t>
  </si>
  <si>
    <t>밸롭 아쿠아슈즈 레터링</t>
  </si>
  <si>
    <t>BA02010124BK270</t>
  </si>
  <si>
    <t>BA02010124PU230</t>
  </si>
  <si>
    <t>BA02010124BK260</t>
  </si>
  <si>
    <t>BA02010124BK250</t>
  </si>
  <si>
    <t>BA02010185GY250</t>
  </si>
  <si>
    <t>밸롭 아쿠아 슈즈 울트라 소닉</t>
  </si>
  <si>
    <t>BA02010185GY230</t>
  </si>
  <si>
    <t>BA02010185BK260</t>
  </si>
  <si>
    <t>BA02010185BK270</t>
  </si>
  <si>
    <t>BA02010185BK250</t>
  </si>
  <si>
    <t>BA02010185BA270</t>
  </si>
  <si>
    <t>BA02010185GY240</t>
  </si>
  <si>
    <t>BA07011159BK270</t>
  </si>
  <si>
    <t>밸롭 베드킹 스테미너 지압 슬리퍼</t>
  </si>
  <si>
    <t>BA07011159BK260</t>
  </si>
  <si>
    <t>BA07011159CH270</t>
  </si>
  <si>
    <t>BD1LADU004SB230</t>
  </si>
  <si>
    <t>마무링 플랫 지압 슬리퍼 (올리브영)</t>
  </si>
  <si>
    <t>BD1LADU004IP250</t>
  </si>
  <si>
    <t>BD1LADU004IP230</t>
  </si>
  <si>
    <t>BD1LADU004SB250</t>
  </si>
  <si>
    <t>BD1SRNU001BK265</t>
  </si>
  <si>
    <t>BD1SRNU001BK280</t>
  </si>
  <si>
    <t>BD1SRNU001BK275</t>
  </si>
  <si>
    <t>BD1SRNU001BK250</t>
  </si>
  <si>
    <t>BD1SRNU001BK260</t>
  </si>
  <si>
    <t>BD1SRNU001BK270</t>
  </si>
  <si>
    <t>밸롭 아쿠아슈즈 모비딕</t>
  </si>
  <si>
    <t>BA02010184BK250</t>
  </si>
  <si>
    <t>BA02010184BK270</t>
  </si>
  <si>
    <t>BA02010184BK260</t>
  </si>
  <si>
    <t>BA02010184BK280</t>
  </si>
  <si>
    <t>BA02010184IV230</t>
  </si>
  <si>
    <t>BA02010184BK240</t>
  </si>
  <si>
    <t>BA02010184IV240</t>
  </si>
  <si>
    <t>BD1SRNU001SV270</t>
  </si>
  <si>
    <t>BD1SRNU001WT250</t>
  </si>
  <si>
    <t>BD1SRNU001WT245</t>
  </si>
  <si>
    <t>BD1SRNU001BK285</t>
  </si>
  <si>
    <t>BD1SRNU001WT235</t>
  </si>
  <si>
    <t>BD1SRNU001SV255</t>
  </si>
  <si>
    <t>BD1SRNU001SV250</t>
  </si>
  <si>
    <t>BD1SRNU001SV240</t>
  </si>
  <si>
    <t>BD1SRNU001BK255</t>
  </si>
  <si>
    <t>BD1SRNU001SV265</t>
  </si>
  <si>
    <t>BD1SRNU001BK290</t>
  </si>
  <si>
    <t>BD1SRNU001WT290</t>
  </si>
  <si>
    <t>BA07011159BK280</t>
  </si>
  <si>
    <t>티바트 나이트워커</t>
  </si>
  <si>
    <t>BD1TWKU002BK285</t>
  </si>
  <si>
    <t>아쿠아슈즈 에센셜</t>
  </si>
  <si>
    <t>BB2WAQU005LE230</t>
  </si>
  <si>
    <t>BB2WAQU005BK250</t>
  </si>
  <si>
    <t>BB2WAQU005BK260</t>
  </si>
  <si>
    <t>BB2WAQU005BK270</t>
  </si>
  <si>
    <t>BB2WAQU005BK280</t>
  </si>
  <si>
    <t>BB2WAQU005BK240</t>
  </si>
  <si>
    <t>BB2WAQU005LE240</t>
  </si>
  <si>
    <t>BA02010129NG230</t>
  </si>
  <si>
    <t>BA02010129BK240</t>
  </si>
  <si>
    <t>BA07010027BK265</t>
  </si>
  <si>
    <t>BA07010027BE255</t>
  </si>
  <si>
    <t>BA07010027BK275</t>
  </si>
  <si>
    <t>BS02010161WT265</t>
  </si>
  <si>
    <t>밸롭BSR스니커즈-티바트2.0</t>
  </si>
  <si>
    <t>BS02010161WT250</t>
  </si>
  <si>
    <t>BS02010161WT235</t>
  </si>
  <si>
    <t>BS02010161AB270</t>
  </si>
  <si>
    <t>BS02010161WT275</t>
  </si>
  <si>
    <t>BS02010161AB255</t>
  </si>
  <si>
    <t>BS02010161WT255</t>
  </si>
  <si>
    <t>BA07010174OW245</t>
  </si>
  <si>
    <t>BA07010174OW275</t>
  </si>
  <si>
    <t>BA02010124BK230</t>
  </si>
  <si>
    <t>BA02010124BK240</t>
  </si>
  <si>
    <t>20260520-0002</t>
  </si>
  <si>
    <t>BD2TWKU005OW250</t>
  </si>
  <si>
    <t>티바트 쿨</t>
  </si>
  <si>
    <t>BD2TWKU005OW230</t>
  </si>
  <si>
    <t>BD2TWKU005OW255</t>
  </si>
  <si>
    <t>BD2TWKU005OW235</t>
  </si>
  <si>
    <t>BD2TWKU005WT260</t>
  </si>
  <si>
    <t>BD2TWKU005WT235</t>
  </si>
  <si>
    <t>BD2TWKU005OW275</t>
  </si>
  <si>
    <t>BD2TWKU005OW265</t>
  </si>
  <si>
    <t>BD2TWKU005OW260</t>
  </si>
  <si>
    <t>BD2TWKU005OW240</t>
  </si>
  <si>
    <t>BD1TWKU002BK250</t>
  </si>
  <si>
    <t>BD1TWKU002BK270</t>
  </si>
  <si>
    <t>BD1TWKU002BK265</t>
  </si>
  <si>
    <t>BD1TWKU002BK260</t>
  </si>
  <si>
    <t>BD1TWKU002BK275</t>
  </si>
  <si>
    <t>BB2WAQU005BK230</t>
  </si>
  <si>
    <t>BB2WAQU005LE250</t>
  </si>
  <si>
    <t>BB2WAQU008IV230</t>
  </si>
  <si>
    <t>BB2WAQU008PI240</t>
  </si>
  <si>
    <t>BB2WAQU008IV240</t>
  </si>
  <si>
    <t>BB2WAQU008IV270</t>
  </si>
  <si>
    <t>BB2WAQU008VI240</t>
  </si>
  <si>
    <t>BB2WAQU008IV250</t>
  </si>
  <si>
    <t>BA02010129NG260</t>
  </si>
  <si>
    <t>BA02010129BK230</t>
  </si>
  <si>
    <t>BA02010129MT250</t>
  </si>
  <si>
    <t>BA07011027WT270</t>
  </si>
  <si>
    <t>BA07011027WT275</t>
  </si>
  <si>
    <t>BA07012027WT250</t>
  </si>
  <si>
    <t>BS02010161WT270</t>
  </si>
  <si>
    <t>BS02010161WT230</t>
  </si>
  <si>
    <t>BS02010161AB230</t>
  </si>
  <si>
    <t>BA07010174BK250</t>
  </si>
  <si>
    <t>BA07010174BK245</t>
  </si>
  <si>
    <t>BA07010174BK230</t>
  </si>
  <si>
    <t>BA07010174BK275</t>
  </si>
  <si>
    <t>BA07010174BK265</t>
  </si>
  <si>
    <t>BA07010174OW270</t>
  </si>
  <si>
    <t>BA07010174BK255</t>
  </si>
  <si>
    <t>BA07010174BK270</t>
  </si>
  <si>
    <t>BD1LADW003VI240</t>
  </si>
  <si>
    <t>BD1LADW003PU250</t>
  </si>
  <si>
    <t>BD1LADW003PI230</t>
  </si>
  <si>
    <t>BD1LADW003VI250</t>
  </si>
  <si>
    <t>BD1LADW003PU230</t>
  </si>
  <si>
    <t>BD1LADW003PI240</t>
  </si>
  <si>
    <t>BD1LADW003PU240</t>
  </si>
  <si>
    <t>BD1LADW003PI250</t>
  </si>
  <si>
    <t>BD1LADW003VI230</t>
  </si>
  <si>
    <t>BA02010184IV260</t>
  </si>
  <si>
    <t>BA02010184IV250</t>
  </si>
  <si>
    <t>BA02010184OR240</t>
  </si>
  <si>
    <t>BA02010184IV270</t>
  </si>
  <si>
    <t>BA02010184BL270</t>
  </si>
  <si>
    <t>BA02010184BK230</t>
  </si>
  <si>
    <t>BA02010124PI240</t>
  </si>
  <si>
    <t>BA02010124MT280</t>
  </si>
  <si>
    <t>BA02010124MT260</t>
  </si>
  <si>
    <t>BA02010124MT240</t>
  </si>
  <si>
    <t>BA02010124PU270</t>
  </si>
  <si>
    <t>BA02010124PI250</t>
  </si>
  <si>
    <t>BA02010124PU280</t>
  </si>
  <si>
    <t>BA02010124PU250</t>
  </si>
  <si>
    <t>BA02010124MT250</t>
  </si>
  <si>
    <t>BA02010124PI230</t>
  </si>
  <si>
    <t>BA02010124BK280</t>
  </si>
  <si>
    <t>BA02010124PU260</t>
  </si>
  <si>
    <t>BA02010124MT230</t>
  </si>
  <si>
    <t>BA02010124MT270</t>
  </si>
  <si>
    <t>BA02010185GY260</t>
  </si>
  <si>
    <t>BA02010185BK230</t>
  </si>
  <si>
    <t>BA02010185BA230</t>
  </si>
  <si>
    <t>BA02010185BA240</t>
  </si>
  <si>
    <t>BA02010185GY270</t>
  </si>
  <si>
    <t>BD1LADU004SB240</t>
  </si>
  <si>
    <t>BD1LADU004GY230</t>
  </si>
  <si>
    <t>BD1LADU004BK240</t>
  </si>
  <si>
    <t>BD1LADU004BE240</t>
  </si>
  <si>
    <t>BD1LADU004BE230</t>
  </si>
  <si>
    <t>BD1LADU004IP240</t>
  </si>
  <si>
    <t>BD1LADU004GY250</t>
  </si>
  <si>
    <t>BD1LADU004BK250</t>
  </si>
  <si>
    <t>BD1LADU004BE250</t>
  </si>
  <si>
    <t>BD1LADU004BK230</t>
  </si>
  <si>
    <t>BD1LADU004GY240</t>
  </si>
  <si>
    <t>BD1SRNU001WT230</t>
  </si>
  <si>
    <t>BD1SRNU001SV280</t>
  </si>
  <si>
    <t>BD1SRNU001SV275</t>
  </si>
  <si>
    <t>BD1SRNU001SV260</t>
  </si>
  <si>
    <t>BD1SRNU001OR250</t>
  </si>
  <si>
    <t>BD1SRNU001OR230</t>
  </si>
  <si>
    <t>BD1SRNU001SV285</t>
  </si>
  <si>
    <t>BD1SRNU001OR245</t>
  </si>
  <si>
    <t>BD1SRNU001OR235</t>
  </si>
  <si>
    <t>BD1SRNU001OR240</t>
  </si>
  <si>
    <t>BD1SRNU001SV290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</si>
</sst>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0_);[Red]\(0\)"/>
    <numFmt numFmtId="177" formatCode="0_ "/>
    <numFmt numFmtId="178" formatCode="#,###"/>
    <numFmt numFmtId="179" formatCode="#,##0_);[Red]\(#,##0\)"/>
  </numFmts>
  <fonts count="9">
    <font>
      <sz val="11"/>
      <name val="맑은 고딕"/>
      <family val="3"/>
      <charset val="129"/>
    </font>
    <font>
      <sz val="11"/>
      <name val="맑은 고딕"/>
      <family val="3"/>
      <charset val="129"/>
    </font>
    <font>
      <b/>
      <u/>
      <sz val="11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u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EBF1F5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rgb="FF000000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176" fontId="2" fillId="2" borderId="1" xfId="0" applyNumberFormat="1" applyFont="1" applyFill="1" applyBorder="1" applyProtection="1">
      <alignment vertical="center"/>
      <protection locked="0"/>
    </xf>
    <xf numFmtId="49" fontId="4" fillId="2" borderId="1" xfId="0" applyNumberFormat="1" applyFont="1" applyFill="1" applyBorder="1" applyProtection="1">
      <alignment vertical="center"/>
      <protection locked="0"/>
    </xf>
    <xf numFmtId="49" fontId="2" fillId="2" borderId="1" xfId="0" applyNumberFormat="1" applyFont="1" applyFill="1" applyBorder="1" applyProtection="1">
      <alignment vertical="center"/>
      <protection locked="0"/>
    </xf>
    <xf numFmtId="49" fontId="5" fillId="2" borderId="1" xfId="0" applyNumberFormat="1" applyFont="1" applyFill="1" applyBorder="1" applyProtection="1">
      <alignment vertical="center"/>
      <protection locked="0"/>
    </xf>
    <xf numFmtId="0" fontId="4" fillId="2" borderId="1" xfId="0" applyFont="1" applyFill="1" applyBorder="1" applyProtection="1">
      <alignment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176" fontId="6" fillId="3" borderId="1" xfId="0" applyNumberFormat="1" applyFont="1" applyFill="1" applyBorder="1" applyAlignment="1">
      <alignment horizontal="left" vertical="center" readingOrder="1"/>
    </xf>
    <xf numFmtId="49" fontId="0" fillId="0" borderId="1" xfId="0" applyNumberFormat="1" applyBorder="1" applyProtection="1">
      <alignment vertical="center"/>
      <protection locked="0"/>
    </xf>
    <xf numFmtId="49" fontId="0" fillId="4" borderId="1" xfId="0" applyNumberFormat="1" applyFill="1" applyBorder="1" applyProtection="1">
      <alignment vertical="center"/>
      <protection locked="0"/>
    </xf>
    <xf numFmtId="4" fontId="0" fillId="4" borderId="1" xfId="0" applyNumberFormat="1" applyFill="1" applyBorder="1" applyProtection="1">
      <alignment vertical="center"/>
      <protection locked="0"/>
    </xf>
    <xf numFmtId="4" fontId="0" fillId="5" borderId="1" xfId="0" applyNumberFormat="1" applyFill="1" applyBorder="1" applyProtection="1">
      <alignment vertical="center"/>
      <protection locked="0"/>
    </xf>
    <xf numFmtId="49" fontId="6" fillId="3" borderId="1" xfId="0" applyNumberFormat="1" applyFont="1" applyFill="1" applyBorder="1" applyAlignment="1">
      <alignment horizontal="left" vertical="center" readingOrder="1"/>
    </xf>
    <xf numFmtId="178" fontId="6" fillId="3" borderId="1" xfId="0" applyNumberFormat="1" applyFont="1" applyFill="1" applyBorder="1" applyAlignment="1">
      <alignment horizontal="center" vertical="center" readingOrder="1"/>
    </xf>
    <xf numFmtId="0" fontId="0" fillId="0" borderId="1" xfId="0" applyBorder="1" applyProtection="1">
      <alignment vertical="center"/>
      <protection locked="0"/>
    </xf>
    <xf numFmtId="0" fontId="0" fillId="6" borderId="1" xfId="0" applyFill="1" applyBorder="1" applyAlignment="1" applyProtection="1">
      <alignment horizontal="center" vertical="center"/>
      <protection locked="0"/>
    </xf>
    <xf numFmtId="176" fontId="1" fillId="0" borderId="1" xfId="1" applyNumberFormat="1" applyFont="1" applyFill="1" applyBorder="1" applyProtection="1">
      <alignment vertical="center"/>
      <protection locked="0"/>
    </xf>
    <xf numFmtId="41" fontId="1" fillId="4" borderId="1" xfId="1" applyFont="1" applyFill="1" applyBorder="1" applyAlignment="1" applyProtection="1">
      <alignment horizontal="right" vertical="center"/>
      <protection locked="0"/>
    </xf>
    <xf numFmtId="179" fontId="1" fillId="4" borderId="1" xfId="1" applyNumberFormat="1" applyFont="1" applyFill="1" applyBorder="1" applyProtection="1">
      <alignment vertical="center"/>
      <protection locked="0"/>
    </xf>
    <xf numFmtId="179" fontId="0" fillId="4" borderId="1" xfId="0" applyNumberFormat="1" applyFill="1" applyBorder="1" applyProtection="1">
      <alignment vertical="center"/>
      <protection locked="0"/>
    </xf>
    <xf numFmtId="179" fontId="0" fillId="0" borderId="0" xfId="0" applyNumberFormat="1" applyProtection="1">
      <alignment vertical="center"/>
      <protection locked="0"/>
    </xf>
    <xf numFmtId="176" fontId="0" fillId="0" borderId="2" xfId="0" applyNumberFormat="1" applyBorder="1" applyProtection="1">
      <alignment vertical="center"/>
      <protection locked="0"/>
    </xf>
    <xf numFmtId="49" fontId="0" fillId="0" borderId="2" xfId="0" applyNumberFormat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177" fontId="0" fillId="0" borderId="2" xfId="0" applyNumberFormat="1" applyBorder="1" applyAlignment="1" applyProtection="1">
      <alignment horizontal="center" vertical="center"/>
      <protection locked="0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1</xdr:row>
      <xdr:rowOff>0</xdr:rowOff>
    </xdr:from>
    <xdr:to>
      <xdr:col>11</xdr:col>
      <xdr:colOff>381000</xdr:colOff>
      <xdr:row>1</xdr:row>
      <xdr:rowOff>198120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B2547E-2A6A-46B6-9D78-93D6D0ADF561}"/>
            </a:ext>
          </a:extLst>
        </xdr:cNvPr>
        <xdr:cNvSpPr>
          <a:spLocks noChangeArrowheads="1"/>
        </xdr:cNvSpPr>
      </xdr:nvSpPr>
      <xdr:spPr bwMode="auto">
        <a:xfrm>
          <a:off x="8892540" y="220980"/>
          <a:ext cx="0" cy="1981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4DAE3-6D78-445B-80C2-9D2399021CCA}">
  <dimension ref="A1:Y205"/>
  <sheetViews>
    <sheetView tabSelected="1" zoomScaleNormal="100" workbookViewId="0">
      <pane ySplit="1" topLeftCell="A2" activePane="bottomLeft" state="frozenSplit"/>
      <selection pane="bottomLeft" activeCell="G7" sqref="G7"/>
    </sheetView>
  </sheetViews>
  <sheetFormatPr defaultColWidth="9" defaultRowHeight="17.399999999999999"/>
  <cols>
    <col min="1" max="1" width="9" style="22" bestFit="1" customWidth="1"/>
    <col min="2" max="2" width="5.19921875" style="23" bestFit="1" customWidth="1"/>
    <col min="3" max="3" width="11" style="23" bestFit="1" customWidth="1"/>
    <col min="4" max="4" width="9" style="23"/>
    <col min="5" max="5" width="7.09765625" style="23" bestFit="1" customWidth="1"/>
    <col min="6" max="7" width="9.19921875" style="23" bestFit="1" customWidth="1"/>
    <col min="8" max="8" width="8" style="23" customWidth="1"/>
    <col min="9" max="9" width="13.59765625" style="24" customWidth="1"/>
    <col min="10" max="10" width="9" style="23"/>
    <col min="11" max="11" width="21.3984375" style="23" bestFit="1" customWidth="1"/>
    <col min="12" max="12" width="44.5" style="23" bestFit="1" customWidth="1"/>
    <col min="13" max="13" width="7.09765625" style="23" bestFit="1" customWidth="1"/>
    <col min="14" max="14" width="13.59765625" style="25" customWidth="1"/>
    <col min="15" max="18" width="13.59765625" style="24" customWidth="1"/>
    <col min="19" max="19" width="5.19921875" style="23" bestFit="1" customWidth="1"/>
    <col min="20" max="24" width="13.59765625" style="24" customWidth="1"/>
    <col min="25" max="25" width="11" style="7" bestFit="1" customWidth="1"/>
    <col min="26" max="256" width="9" style="7"/>
    <col min="257" max="257" width="9" style="7" bestFit="1"/>
    <col min="258" max="258" width="5.19921875" style="7" bestFit="1" customWidth="1"/>
    <col min="259" max="259" width="11" style="7" bestFit="1" customWidth="1"/>
    <col min="260" max="260" width="9" style="7"/>
    <col min="261" max="261" width="7.09765625" style="7" bestFit="1" customWidth="1"/>
    <col min="262" max="263" width="9.19921875" style="7" bestFit="1" customWidth="1"/>
    <col min="264" max="264" width="8" style="7" customWidth="1"/>
    <col min="265" max="265" width="13.59765625" style="7" customWidth="1"/>
    <col min="266" max="266" width="9" style="7"/>
    <col min="267" max="267" width="21.3984375" style="7" bestFit="1" customWidth="1"/>
    <col min="268" max="268" width="44.5" style="7" bestFit="1" customWidth="1"/>
    <col min="269" max="269" width="7.09765625" style="7" bestFit="1" customWidth="1"/>
    <col min="270" max="274" width="13.59765625" style="7" customWidth="1"/>
    <col min="275" max="275" width="5.19921875" style="7" bestFit="1" customWidth="1"/>
    <col min="276" max="280" width="13.59765625" style="7" customWidth="1"/>
    <col min="281" max="281" width="11" style="7" bestFit="1" customWidth="1"/>
    <col min="282" max="512" width="9" style="7"/>
    <col min="513" max="513" width="9" style="7" bestFit="1"/>
    <col min="514" max="514" width="5.19921875" style="7" bestFit="1" customWidth="1"/>
    <col min="515" max="515" width="11" style="7" bestFit="1" customWidth="1"/>
    <col min="516" max="516" width="9" style="7"/>
    <col min="517" max="517" width="7.09765625" style="7" bestFit="1" customWidth="1"/>
    <col min="518" max="519" width="9.19921875" style="7" bestFit="1" customWidth="1"/>
    <col min="520" max="520" width="8" style="7" customWidth="1"/>
    <col min="521" max="521" width="13.59765625" style="7" customWidth="1"/>
    <col min="522" max="522" width="9" style="7"/>
    <col min="523" max="523" width="21.3984375" style="7" bestFit="1" customWidth="1"/>
    <col min="524" max="524" width="44.5" style="7" bestFit="1" customWidth="1"/>
    <col min="525" max="525" width="7.09765625" style="7" bestFit="1" customWidth="1"/>
    <col min="526" max="530" width="13.59765625" style="7" customWidth="1"/>
    <col min="531" max="531" width="5.19921875" style="7" bestFit="1" customWidth="1"/>
    <col min="532" max="536" width="13.59765625" style="7" customWidth="1"/>
    <col min="537" max="537" width="11" style="7" bestFit="1" customWidth="1"/>
    <col min="538" max="768" width="9" style="7"/>
    <col min="769" max="769" width="9" style="7" bestFit="1"/>
    <col min="770" max="770" width="5.19921875" style="7" bestFit="1" customWidth="1"/>
    <col min="771" max="771" width="11" style="7" bestFit="1" customWidth="1"/>
    <col min="772" max="772" width="9" style="7"/>
    <col min="773" max="773" width="7.09765625" style="7" bestFit="1" customWidth="1"/>
    <col min="774" max="775" width="9.19921875" style="7" bestFit="1" customWidth="1"/>
    <col min="776" max="776" width="8" style="7" customWidth="1"/>
    <col min="777" max="777" width="13.59765625" style="7" customWidth="1"/>
    <col min="778" max="778" width="9" style="7"/>
    <col min="779" max="779" width="21.3984375" style="7" bestFit="1" customWidth="1"/>
    <col min="780" max="780" width="44.5" style="7" bestFit="1" customWidth="1"/>
    <col min="781" max="781" width="7.09765625" style="7" bestFit="1" customWidth="1"/>
    <col min="782" max="786" width="13.59765625" style="7" customWidth="1"/>
    <col min="787" max="787" width="5.19921875" style="7" bestFit="1" customWidth="1"/>
    <col min="788" max="792" width="13.59765625" style="7" customWidth="1"/>
    <col min="793" max="793" width="11" style="7" bestFit="1" customWidth="1"/>
    <col min="794" max="1024" width="9" style="7"/>
    <col min="1025" max="1025" width="9" style="7" bestFit="1"/>
    <col min="1026" max="1026" width="5.19921875" style="7" bestFit="1" customWidth="1"/>
    <col min="1027" max="1027" width="11" style="7" bestFit="1" customWidth="1"/>
    <col min="1028" max="1028" width="9" style="7"/>
    <col min="1029" max="1029" width="7.09765625" style="7" bestFit="1" customWidth="1"/>
    <col min="1030" max="1031" width="9.19921875" style="7" bestFit="1" customWidth="1"/>
    <col min="1032" max="1032" width="8" style="7" customWidth="1"/>
    <col min="1033" max="1033" width="13.59765625" style="7" customWidth="1"/>
    <col min="1034" max="1034" width="9" style="7"/>
    <col min="1035" max="1035" width="21.3984375" style="7" bestFit="1" customWidth="1"/>
    <col min="1036" max="1036" width="44.5" style="7" bestFit="1" customWidth="1"/>
    <col min="1037" max="1037" width="7.09765625" style="7" bestFit="1" customWidth="1"/>
    <col min="1038" max="1042" width="13.59765625" style="7" customWidth="1"/>
    <col min="1043" max="1043" width="5.19921875" style="7" bestFit="1" customWidth="1"/>
    <col min="1044" max="1048" width="13.59765625" style="7" customWidth="1"/>
    <col min="1049" max="1049" width="11" style="7" bestFit="1" customWidth="1"/>
    <col min="1050" max="1280" width="9" style="7"/>
    <col min="1281" max="1281" width="9" style="7" bestFit="1"/>
    <col min="1282" max="1282" width="5.19921875" style="7" bestFit="1" customWidth="1"/>
    <col min="1283" max="1283" width="11" style="7" bestFit="1" customWidth="1"/>
    <col min="1284" max="1284" width="9" style="7"/>
    <col min="1285" max="1285" width="7.09765625" style="7" bestFit="1" customWidth="1"/>
    <col min="1286" max="1287" width="9.19921875" style="7" bestFit="1" customWidth="1"/>
    <col min="1288" max="1288" width="8" style="7" customWidth="1"/>
    <col min="1289" max="1289" width="13.59765625" style="7" customWidth="1"/>
    <col min="1290" max="1290" width="9" style="7"/>
    <col min="1291" max="1291" width="21.3984375" style="7" bestFit="1" customWidth="1"/>
    <col min="1292" max="1292" width="44.5" style="7" bestFit="1" customWidth="1"/>
    <col min="1293" max="1293" width="7.09765625" style="7" bestFit="1" customWidth="1"/>
    <col min="1294" max="1298" width="13.59765625" style="7" customWidth="1"/>
    <col min="1299" max="1299" width="5.19921875" style="7" bestFit="1" customWidth="1"/>
    <col min="1300" max="1304" width="13.59765625" style="7" customWidth="1"/>
    <col min="1305" max="1305" width="11" style="7" bestFit="1" customWidth="1"/>
    <col min="1306" max="1536" width="9" style="7"/>
    <col min="1537" max="1537" width="9" style="7" bestFit="1"/>
    <col min="1538" max="1538" width="5.19921875" style="7" bestFit="1" customWidth="1"/>
    <col min="1539" max="1539" width="11" style="7" bestFit="1" customWidth="1"/>
    <col min="1540" max="1540" width="9" style="7"/>
    <col min="1541" max="1541" width="7.09765625" style="7" bestFit="1" customWidth="1"/>
    <col min="1542" max="1543" width="9.19921875" style="7" bestFit="1" customWidth="1"/>
    <col min="1544" max="1544" width="8" style="7" customWidth="1"/>
    <col min="1545" max="1545" width="13.59765625" style="7" customWidth="1"/>
    <col min="1546" max="1546" width="9" style="7"/>
    <col min="1547" max="1547" width="21.3984375" style="7" bestFit="1" customWidth="1"/>
    <col min="1548" max="1548" width="44.5" style="7" bestFit="1" customWidth="1"/>
    <col min="1549" max="1549" width="7.09765625" style="7" bestFit="1" customWidth="1"/>
    <col min="1550" max="1554" width="13.59765625" style="7" customWidth="1"/>
    <col min="1555" max="1555" width="5.19921875" style="7" bestFit="1" customWidth="1"/>
    <col min="1556" max="1560" width="13.59765625" style="7" customWidth="1"/>
    <col min="1561" max="1561" width="11" style="7" bestFit="1" customWidth="1"/>
    <col min="1562" max="1792" width="9" style="7"/>
    <col min="1793" max="1793" width="9" style="7" bestFit="1"/>
    <col min="1794" max="1794" width="5.19921875" style="7" bestFit="1" customWidth="1"/>
    <col min="1795" max="1795" width="11" style="7" bestFit="1" customWidth="1"/>
    <col min="1796" max="1796" width="9" style="7"/>
    <col min="1797" max="1797" width="7.09765625" style="7" bestFit="1" customWidth="1"/>
    <col min="1798" max="1799" width="9.19921875" style="7" bestFit="1" customWidth="1"/>
    <col min="1800" max="1800" width="8" style="7" customWidth="1"/>
    <col min="1801" max="1801" width="13.59765625" style="7" customWidth="1"/>
    <col min="1802" max="1802" width="9" style="7"/>
    <col min="1803" max="1803" width="21.3984375" style="7" bestFit="1" customWidth="1"/>
    <col min="1804" max="1804" width="44.5" style="7" bestFit="1" customWidth="1"/>
    <col min="1805" max="1805" width="7.09765625" style="7" bestFit="1" customWidth="1"/>
    <col min="1806" max="1810" width="13.59765625" style="7" customWidth="1"/>
    <col min="1811" max="1811" width="5.19921875" style="7" bestFit="1" customWidth="1"/>
    <col min="1812" max="1816" width="13.59765625" style="7" customWidth="1"/>
    <col min="1817" max="1817" width="11" style="7" bestFit="1" customWidth="1"/>
    <col min="1818" max="2048" width="9" style="7"/>
    <col min="2049" max="2049" width="9" style="7" bestFit="1"/>
    <col min="2050" max="2050" width="5.19921875" style="7" bestFit="1" customWidth="1"/>
    <col min="2051" max="2051" width="11" style="7" bestFit="1" customWidth="1"/>
    <col min="2052" max="2052" width="9" style="7"/>
    <col min="2053" max="2053" width="7.09765625" style="7" bestFit="1" customWidth="1"/>
    <col min="2054" max="2055" width="9.19921875" style="7" bestFit="1" customWidth="1"/>
    <col min="2056" max="2056" width="8" style="7" customWidth="1"/>
    <col min="2057" max="2057" width="13.59765625" style="7" customWidth="1"/>
    <col min="2058" max="2058" width="9" style="7"/>
    <col min="2059" max="2059" width="21.3984375" style="7" bestFit="1" customWidth="1"/>
    <col min="2060" max="2060" width="44.5" style="7" bestFit="1" customWidth="1"/>
    <col min="2061" max="2061" width="7.09765625" style="7" bestFit="1" customWidth="1"/>
    <col min="2062" max="2066" width="13.59765625" style="7" customWidth="1"/>
    <col min="2067" max="2067" width="5.19921875" style="7" bestFit="1" customWidth="1"/>
    <col min="2068" max="2072" width="13.59765625" style="7" customWidth="1"/>
    <col min="2073" max="2073" width="11" style="7" bestFit="1" customWidth="1"/>
    <col min="2074" max="2304" width="9" style="7"/>
    <col min="2305" max="2305" width="9" style="7" bestFit="1"/>
    <col min="2306" max="2306" width="5.19921875" style="7" bestFit="1" customWidth="1"/>
    <col min="2307" max="2307" width="11" style="7" bestFit="1" customWidth="1"/>
    <col min="2308" max="2308" width="9" style="7"/>
    <col min="2309" max="2309" width="7.09765625" style="7" bestFit="1" customWidth="1"/>
    <col min="2310" max="2311" width="9.19921875" style="7" bestFit="1" customWidth="1"/>
    <col min="2312" max="2312" width="8" style="7" customWidth="1"/>
    <col min="2313" max="2313" width="13.59765625" style="7" customWidth="1"/>
    <col min="2314" max="2314" width="9" style="7"/>
    <col min="2315" max="2315" width="21.3984375" style="7" bestFit="1" customWidth="1"/>
    <col min="2316" max="2316" width="44.5" style="7" bestFit="1" customWidth="1"/>
    <col min="2317" max="2317" width="7.09765625" style="7" bestFit="1" customWidth="1"/>
    <col min="2318" max="2322" width="13.59765625" style="7" customWidth="1"/>
    <col min="2323" max="2323" width="5.19921875" style="7" bestFit="1" customWidth="1"/>
    <col min="2324" max="2328" width="13.59765625" style="7" customWidth="1"/>
    <col min="2329" max="2329" width="11" style="7" bestFit="1" customWidth="1"/>
    <col min="2330" max="2560" width="9" style="7"/>
    <col min="2561" max="2561" width="9" style="7" bestFit="1"/>
    <col min="2562" max="2562" width="5.19921875" style="7" bestFit="1" customWidth="1"/>
    <col min="2563" max="2563" width="11" style="7" bestFit="1" customWidth="1"/>
    <col min="2564" max="2564" width="9" style="7"/>
    <col min="2565" max="2565" width="7.09765625" style="7" bestFit="1" customWidth="1"/>
    <col min="2566" max="2567" width="9.19921875" style="7" bestFit="1" customWidth="1"/>
    <col min="2568" max="2568" width="8" style="7" customWidth="1"/>
    <col min="2569" max="2569" width="13.59765625" style="7" customWidth="1"/>
    <col min="2570" max="2570" width="9" style="7"/>
    <col min="2571" max="2571" width="21.3984375" style="7" bestFit="1" customWidth="1"/>
    <col min="2572" max="2572" width="44.5" style="7" bestFit="1" customWidth="1"/>
    <col min="2573" max="2573" width="7.09765625" style="7" bestFit="1" customWidth="1"/>
    <col min="2574" max="2578" width="13.59765625" style="7" customWidth="1"/>
    <col min="2579" max="2579" width="5.19921875" style="7" bestFit="1" customWidth="1"/>
    <col min="2580" max="2584" width="13.59765625" style="7" customWidth="1"/>
    <col min="2585" max="2585" width="11" style="7" bestFit="1" customWidth="1"/>
    <col min="2586" max="2816" width="9" style="7"/>
    <col min="2817" max="2817" width="9" style="7" bestFit="1"/>
    <col min="2818" max="2818" width="5.19921875" style="7" bestFit="1" customWidth="1"/>
    <col min="2819" max="2819" width="11" style="7" bestFit="1" customWidth="1"/>
    <col min="2820" max="2820" width="9" style="7"/>
    <col min="2821" max="2821" width="7.09765625" style="7" bestFit="1" customWidth="1"/>
    <col min="2822" max="2823" width="9.19921875" style="7" bestFit="1" customWidth="1"/>
    <col min="2824" max="2824" width="8" style="7" customWidth="1"/>
    <col min="2825" max="2825" width="13.59765625" style="7" customWidth="1"/>
    <col min="2826" max="2826" width="9" style="7"/>
    <col min="2827" max="2827" width="21.3984375" style="7" bestFit="1" customWidth="1"/>
    <col min="2828" max="2828" width="44.5" style="7" bestFit="1" customWidth="1"/>
    <col min="2829" max="2829" width="7.09765625" style="7" bestFit="1" customWidth="1"/>
    <col min="2830" max="2834" width="13.59765625" style="7" customWidth="1"/>
    <col min="2835" max="2835" width="5.19921875" style="7" bestFit="1" customWidth="1"/>
    <col min="2836" max="2840" width="13.59765625" style="7" customWidth="1"/>
    <col min="2841" max="2841" width="11" style="7" bestFit="1" customWidth="1"/>
    <col min="2842" max="3072" width="9" style="7"/>
    <col min="3073" max="3073" width="9" style="7" bestFit="1"/>
    <col min="3074" max="3074" width="5.19921875" style="7" bestFit="1" customWidth="1"/>
    <col min="3075" max="3075" width="11" style="7" bestFit="1" customWidth="1"/>
    <col min="3076" max="3076" width="9" style="7"/>
    <col min="3077" max="3077" width="7.09765625" style="7" bestFit="1" customWidth="1"/>
    <col min="3078" max="3079" width="9.19921875" style="7" bestFit="1" customWidth="1"/>
    <col min="3080" max="3080" width="8" style="7" customWidth="1"/>
    <col min="3081" max="3081" width="13.59765625" style="7" customWidth="1"/>
    <col min="3082" max="3082" width="9" style="7"/>
    <col min="3083" max="3083" width="21.3984375" style="7" bestFit="1" customWidth="1"/>
    <col min="3084" max="3084" width="44.5" style="7" bestFit="1" customWidth="1"/>
    <col min="3085" max="3085" width="7.09765625" style="7" bestFit="1" customWidth="1"/>
    <col min="3086" max="3090" width="13.59765625" style="7" customWidth="1"/>
    <col min="3091" max="3091" width="5.19921875" style="7" bestFit="1" customWidth="1"/>
    <col min="3092" max="3096" width="13.59765625" style="7" customWidth="1"/>
    <col min="3097" max="3097" width="11" style="7" bestFit="1" customWidth="1"/>
    <col min="3098" max="3328" width="9" style="7"/>
    <col min="3329" max="3329" width="9" style="7" bestFit="1"/>
    <col min="3330" max="3330" width="5.19921875" style="7" bestFit="1" customWidth="1"/>
    <col min="3331" max="3331" width="11" style="7" bestFit="1" customWidth="1"/>
    <col min="3332" max="3332" width="9" style="7"/>
    <col min="3333" max="3333" width="7.09765625" style="7" bestFit="1" customWidth="1"/>
    <col min="3334" max="3335" width="9.19921875" style="7" bestFit="1" customWidth="1"/>
    <col min="3336" max="3336" width="8" style="7" customWidth="1"/>
    <col min="3337" max="3337" width="13.59765625" style="7" customWidth="1"/>
    <col min="3338" max="3338" width="9" style="7"/>
    <col min="3339" max="3339" width="21.3984375" style="7" bestFit="1" customWidth="1"/>
    <col min="3340" max="3340" width="44.5" style="7" bestFit="1" customWidth="1"/>
    <col min="3341" max="3341" width="7.09765625" style="7" bestFit="1" customWidth="1"/>
    <col min="3342" max="3346" width="13.59765625" style="7" customWidth="1"/>
    <col min="3347" max="3347" width="5.19921875" style="7" bestFit="1" customWidth="1"/>
    <col min="3348" max="3352" width="13.59765625" style="7" customWidth="1"/>
    <col min="3353" max="3353" width="11" style="7" bestFit="1" customWidth="1"/>
    <col min="3354" max="3584" width="9" style="7"/>
    <col min="3585" max="3585" width="9" style="7" bestFit="1"/>
    <col min="3586" max="3586" width="5.19921875" style="7" bestFit="1" customWidth="1"/>
    <col min="3587" max="3587" width="11" style="7" bestFit="1" customWidth="1"/>
    <col min="3588" max="3588" width="9" style="7"/>
    <col min="3589" max="3589" width="7.09765625" style="7" bestFit="1" customWidth="1"/>
    <col min="3590" max="3591" width="9.19921875" style="7" bestFit="1" customWidth="1"/>
    <col min="3592" max="3592" width="8" style="7" customWidth="1"/>
    <col min="3593" max="3593" width="13.59765625" style="7" customWidth="1"/>
    <col min="3594" max="3594" width="9" style="7"/>
    <col min="3595" max="3595" width="21.3984375" style="7" bestFit="1" customWidth="1"/>
    <col min="3596" max="3596" width="44.5" style="7" bestFit="1" customWidth="1"/>
    <col min="3597" max="3597" width="7.09765625" style="7" bestFit="1" customWidth="1"/>
    <col min="3598" max="3602" width="13.59765625" style="7" customWidth="1"/>
    <col min="3603" max="3603" width="5.19921875" style="7" bestFit="1" customWidth="1"/>
    <col min="3604" max="3608" width="13.59765625" style="7" customWidth="1"/>
    <col min="3609" max="3609" width="11" style="7" bestFit="1" customWidth="1"/>
    <col min="3610" max="3840" width="9" style="7"/>
    <col min="3841" max="3841" width="9" style="7" bestFit="1"/>
    <col min="3842" max="3842" width="5.19921875" style="7" bestFit="1" customWidth="1"/>
    <col min="3843" max="3843" width="11" style="7" bestFit="1" customWidth="1"/>
    <col min="3844" max="3844" width="9" style="7"/>
    <col min="3845" max="3845" width="7.09765625" style="7" bestFit="1" customWidth="1"/>
    <col min="3846" max="3847" width="9.19921875" style="7" bestFit="1" customWidth="1"/>
    <col min="3848" max="3848" width="8" style="7" customWidth="1"/>
    <col min="3849" max="3849" width="13.59765625" style="7" customWidth="1"/>
    <col min="3850" max="3850" width="9" style="7"/>
    <col min="3851" max="3851" width="21.3984375" style="7" bestFit="1" customWidth="1"/>
    <col min="3852" max="3852" width="44.5" style="7" bestFit="1" customWidth="1"/>
    <col min="3853" max="3853" width="7.09765625" style="7" bestFit="1" customWidth="1"/>
    <col min="3854" max="3858" width="13.59765625" style="7" customWidth="1"/>
    <col min="3859" max="3859" width="5.19921875" style="7" bestFit="1" customWidth="1"/>
    <col min="3860" max="3864" width="13.59765625" style="7" customWidth="1"/>
    <col min="3865" max="3865" width="11" style="7" bestFit="1" customWidth="1"/>
    <col min="3866" max="4096" width="9" style="7"/>
    <col min="4097" max="4097" width="9" style="7" bestFit="1"/>
    <col min="4098" max="4098" width="5.19921875" style="7" bestFit="1" customWidth="1"/>
    <col min="4099" max="4099" width="11" style="7" bestFit="1" customWidth="1"/>
    <col min="4100" max="4100" width="9" style="7"/>
    <col min="4101" max="4101" width="7.09765625" style="7" bestFit="1" customWidth="1"/>
    <col min="4102" max="4103" width="9.19921875" style="7" bestFit="1" customWidth="1"/>
    <col min="4104" max="4104" width="8" style="7" customWidth="1"/>
    <col min="4105" max="4105" width="13.59765625" style="7" customWidth="1"/>
    <col min="4106" max="4106" width="9" style="7"/>
    <col min="4107" max="4107" width="21.3984375" style="7" bestFit="1" customWidth="1"/>
    <col min="4108" max="4108" width="44.5" style="7" bestFit="1" customWidth="1"/>
    <col min="4109" max="4109" width="7.09765625" style="7" bestFit="1" customWidth="1"/>
    <col min="4110" max="4114" width="13.59765625" style="7" customWidth="1"/>
    <col min="4115" max="4115" width="5.19921875" style="7" bestFit="1" customWidth="1"/>
    <col min="4116" max="4120" width="13.59765625" style="7" customWidth="1"/>
    <col min="4121" max="4121" width="11" style="7" bestFit="1" customWidth="1"/>
    <col min="4122" max="4352" width="9" style="7"/>
    <col min="4353" max="4353" width="9" style="7" bestFit="1"/>
    <col min="4354" max="4354" width="5.19921875" style="7" bestFit="1" customWidth="1"/>
    <col min="4355" max="4355" width="11" style="7" bestFit="1" customWidth="1"/>
    <col min="4356" max="4356" width="9" style="7"/>
    <col min="4357" max="4357" width="7.09765625" style="7" bestFit="1" customWidth="1"/>
    <col min="4358" max="4359" width="9.19921875" style="7" bestFit="1" customWidth="1"/>
    <col min="4360" max="4360" width="8" style="7" customWidth="1"/>
    <col min="4361" max="4361" width="13.59765625" style="7" customWidth="1"/>
    <col min="4362" max="4362" width="9" style="7"/>
    <col min="4363" max="4363" width="21.3984375" style="7" bestFit="1" customWidth="1"/>
    <col min="4364" max="4364" width="44.5" style="7" bestFit="1" customWidth="1"/>
    <col min="4365" max="4365" width="7.09765625" style="7" bestFit="1" customWidth="1"/>
    <col min="4366" max="4370" width="13.59765625" style="7" customWidth="1"/>
    <col min="4371" max="4371" width="5.19921875" style="7" bestFit="1" customWidth="1"/>
    <col min="4372" max="4376" width="13.59765625" style="7" customWidth="1"/>
    <col min="4377" max="4377" width="11" style="7" bestFit="1" customWidth="1"/>
    <col min="4378" max="4608" width="9" style="7"/>
    <col min="4609" max="4609" width="9" style="7" bestFit="1"/>
    <col min="4610" max="4610" width="5.19921875" style="7" bestFit="1" customWidth="1"/>
    <col min="4611" max="4611" width="11" style="7" bestFit="1" customWidth="1"/>
    <col min="4612" max="4612" width="9" style="7"/>
    <col min="4613" max="4613" width="7.09765625" style="7" bestFit="1" customWidth="1"/>
    <col min="4614" max="4615" width="9.19921875" style="7" bestFit="1" customWidth="1"/>
    <col min="4616" max="4616" width="8" style="7" customWidth="1"/>
    <col min="4617" max="4617" width="13.59765625" style="7" customWidth="1"/>
    <col min="4618" max="4618" width="9" style="7"/>
    <col min="4619" max="4619" width="21.3984375" style="7" bestFit="1" customWidth="1"/>
    <col min="4620" max="4620" width="44.5" style="7" bestFit="1" customWidth="1"/>
    <col min="4621" max="4621" width="7.09765625" style="7" bestFit="1" customWidth="1"/>
    <col min="4622" max="4626" width="13.59765625" style="7" customWidth="1"/>
    <col min="4627" max="4627" width="5.19921875" style="7" bestFit="1" customWidth="1"/>
    <col min="4628" max="4632" width="13.59765625" style="7" customWidth="1"/>
    <col min="4633" max="4633" width="11" style="7" bestFit="1" customWidth="1"/>
    <col min="4634" max="4864" width="9" style="7"/>
    <col min="4865" max="4865" width="9" style="7" bestFit="1"/>
    <col min="4866" max="4866" width="5.19921875" style="7" bestFit="1" customWidth="1"/>
    <col min="4867" max="4867" width="11" style="7" bestFit="1" customWidth="1"/>
    <col min="4868" max="4868" width="9" style="7"/>
    <col min="4869" max="4869" width="7.09765625" style="7" bestFit="1" customWidth="1"/>
    <col min="4870" max="4871" width="9.19921875" style="7" bestFit="1" customWidth="1"/>
    <col min="4872" max="4872" width="8" style="7" customWidth="1"/>
    <col min="4873" max="4873" width="13.59765625" style="7" customWidth="1"/>
    <col min="4874" max="4874" width="9" style="7"/>
    <col min="4875" max="4875" width="21.3984375" style="7" bestFit="1" customWidth="1"/>
    <col min="4876" max="4876" width="44.5" style="7" bestFit="1" customWidth="1"/>
    <col min="4877" max="4877" width="7.09765625" style="7" bestFit="1" customWidth="1"/>
    <col min="4878" max="4882" width="13.59765625" style="7" customWidth="1"/>
    <col min="4883" max="4883" width="5.19921875" style="7" bestFit="1" customWidth="1"/>
    <col min="4884" max="4888" width="13.59765625" style="7" customWidth="1"/>
    <col min="4889" max="4889" width="11" style="7" bestFit="1" customWidth="1"/>
    <col min="4890" max="5120" width="9" style="7"/>
    <col min="5121" max="5121" width="9" style="7" bestFit="1"/>
    <col min="5122" max="5122" width="5.19921875" style="7" bestFit="1" customWidth="1"/>
    <col min="5123" max="5123" width="11" style="7" bestFit="1" customWidth="1"/>
    <col min="5124" max="5124" width="9" style="7"/>
    <col min="5125" max="5125" width="7.09765625" style="7" bestFit="1" customWidth="1"/>
    <col min="5126" max="5127" width="9.19921875" style="7" bestFit="1" customWidth="1"/>
    <col min="5128" max="5128" width="8" style="7" customWidth="1"/>
    <col min="5129" max="5129" width="13.59765625" style="7" customWidth="1"/>
    <col min="5130" max="5130" width="9" style="7"/>
    <col min="5131" max="5131" width="21.3984375" style="7" bestFit="1" customWidth="1"/>
    <col min="5132" max="5132" width="44.5" style="7" bestFit="1" customWidth="1"/>
    <col min="5133" max="5133" width="7.09765625" style="7" bestFit="1" customWidth="1"/>
    <col min="5134" max="5138" width="13.59765625" style="7" customWidth="1"/>
    <col min="5139" max="5139" width="5.19921875" style="7" bestFit="1" customWidth="1"/>
    <col min="5140" max="5144" width="13.59765625" style="7" customWidth="1"/>
    <col min="5145" max="5145" width="11" style="7" bestFit="1" customWidth="1"/>
    <col min="5146" max="5376" width="9" style="7"/>
    <col min="5377" max="5377" width="9" style="7" bestFit="1"/>
    <col min="5378" max="5378" width="5.19921875" style="7" bestFit="1" customWidth="1"/>
    <col min="5379" max="5379" width="11" style="7" bestFit="1" customWidth="1"/>
    <col min="5380" max="5380" width="9" style="7"/>
    <col min="5381" max="5381" width="7.09765625" style="7" bestFit="1" customWidth="1"/>
    <col min="5382" max="5383" width="9.19921875" style="7" bestFit="1" customWidth="1"/>
    <col min="5384" max="5384" width="8" style="7" customWidth="1"/>
    <col min="5385" max="5385" width="13.59765625" style="7" customWidth="1"/>
    <col min="5386" max="5386" width="9" style="7"/>
    <col min="5387" max="5387" width="21.3984375" style="7" bestFit="1" customWidth="1"/>
    <col min="5388" max="5388" width="44.5" style="7" bestFit="1" customWidth="1"/>
    <col min="5389" max="5389" width="7.09765625" style="7" bestFit="1" customWidth="1"/>
    <col min="5390" max="5394" width="13.59765625" style="7" customWidth="1"/>
    <col min="5395" max="5395" width="5.19921875" style="7" bestFit="1" customWidth="1"/>
    <col min="5396" max="5400" width="13.59765625" style="7" customWidth="1"/>
    <col min="5401" max="5401" width="11" style="7" bestFit="1" customWidth="1"/>
    <col min="5402" max="5632" width="9" style="7"/>
    <col min="5633" max="5633" width="9" style="7" bestFit="1"/>
    <col min="5634" max="5634" width="5.19921875" style="7" bestFit="1" customWidth="1"/>
    <col min="5635" max="5635" width="11" style="7" bestFit="1" customWidth="1"/>
    <col min="5636" max="5636" width="9" style="7"/>
    <col min="5637" max="5637" width="7.09765625" style="7" bestFit="1" customWidth="1"/>
    <col min="5638" max="5639" width="9.19921875" style="7" bestFit="1" customWidth="1"/>
    <col min="5640" max="5640" width="8" style="7" customWidth="1"/>
    <col min="5641" max="5641" width="13.59765625" style="7" customWidth="1"/>
    <col min="5642" max="5642" width="9" style="7"/>
    <col min="5643" max="5643" width="21.3984375" style="7" bestFit="1" customWidth="1"/>
    <col min="5644" max="5644" width="44.5" style="7" bestFit="1" customWidth="1"/>
    <col min="5645" max="5645" width="7.09765625" style="7" bestFit="1" customWidth="1"/>
    <col min="5646" max="5650" width="13.59765625" style="7" customWidth="1"/>
    <col min="5651" max="5651" width="5.19921875" style="7" bestFit="1" customWidth="1"/>
    <col min="5652" max="5656" width="13.59765625" style="7" customWidth="1"/>
    <col min="5657" max="5657" width="11" style="7" bestFit="1" customWidth="1"/>
    <col min="5658" max="5888" width="9" style="7"/>
    <col min="5889" max="5889" width="9" style="7" bestFit="1"/>
    <col min="5890" max="5890" width="5.19921875" style="7" bestFit="1" customWidth="1"/>
    <col min="5891" max="5891" width="11" style="7" bestFit="1" customWidth="1"/>
    <col min="5892" max="5892" width="9" style="7"/>
    <col min="5893" max="5893" width="7.09765625" style="7" bestFit="1" customWidth="1"/>
    <col min="5894" max="5895" width="9.19921875" style="7" bestFit="1" customWidth="1"/>
    <col min="5896" max="5896" width="8" style="7" customWidth="1"/>
    <col min="5897" max="5897" width="13.59765625" style="7" customWidth="1"/>
    <col min="5898" max="5898" width="9" style="7"/>
    <col min="5899" max="5899" width="21.3984375" style="7" bestFit="1" customWidth="1"/>
    <col min="5900" max="5900" width="44.5" style="7" bestFit="1" customWidth="1"/>
    <col min="5901" max="5901" width="7.09765625" style="7" bestFit="1" customWidth="1"/>
    <col min="5902" max="5906" width="13.59765625" style="7" customWidth="1"/>
    <col min="5907" max="5907" width="5.19921875" style="7" bestFit="1" customWidth="1"/>
    <col min="5908" max="5912" width="13.59765625" style="7" customWidth="1"/>
    <col min="5913" max="5913" width="11" style="7" bestFit="1" customWidth="1"/>
    <col min="5914" max="6144" width="9" style="7"/>
    <col min="6145" max="6145" width="9" style="7" bestFit="1"/>
    <col min="6146" max="6146" width="5.19921875" style="7" bestFit="1" customWidth="1"/>
    <col min="6147" max="6147" width="11" style="7" bestFit="1" customWidth="1"/>
    <col min="6148" max="6148" width="9" style="7"/>
    <col min="6149" max="6149" width="7.09765625" style="7" bestFit="1" customWidth="1"/>
    <col min="6150" max="6151" width="9.19921875" style="7" bestFit="1" customWidth="1"/>
    <col min="6152" max="6152" width="8" style="7" customWidth="1"/>
    <col min="6153" max="6153" width="13.59765625" style="7" customWidth="1"/>
    <col min="6154" max="6154" width="9" style="7"/>
    <col min="6155" max="6155" width="21.3984375" style="7" bestFit="1" customWidth="1"/>
    <col min="6156" max="6156" width="44.5" style="7" bestFit="1" customWidth="1"/>
    <col min="6157" max="6157" width="7.09765625" style="7" bestFit="1" customWidth="1"/>
    <col min="6158" max="6162" width="13.59765625" style="7" customWidth="1"/>
    <col min="6163" max="6163" width="5.19921875" style="7" bestFit="1" customWidth="1"/>
    <col min="6164" max="6168" width="13.59765625" style="7" customWidth="1"/>
    <col min="6169" max="6169" width="11" style="7" bestFit="1" customWidth="1"/>
    <col min="6170" max="6400" width="9" style="7"/>
    <col min="6401" max="6401" width="9" style="7" bestFit="1"/>
    <col min="6402" max="6402" width="5.19921875" style="7" bestFit="1" customWidth="1"/>
    <col min="6403" max="6403" width="11" style="7" bestFit="1" customWidth="1"/>
    <col min="6404" max="6404" width="9" style="7"/>
    <col min="6405" max="6405" width="7.09765625" style="7" bestFit="1" customWidth="1"/>
    <col min="6406" max="6407" width="9.19921875" style="7" bestFit="1" customWidth="1"/>
    <col min="6408" max="6408" width="8" style="7" customWidth="1"/>
    <col min="6409" max="6409" width="13.59765625" style="7" customWidth="1"/>
    <col min="6410" max="6410" width="9" style="7"/>
    <col min="6411" max="6411" width="21.3984375" style="7" bestFit="1" customWidth="1"/>
    <col min="6412" max="6412" width="44.5" style="7" bestFit="1" customWidth="1"/>
    <col min="6413" max="6413" width="7.09765625" style="7" bestFit="1" customWidth="1"/>
    <col min="6414" max="6418" width="13.59765625" style="7" customWidth="1"/>
    <col min="6419" max="6419" width="5.19921875" style="7" bestFit="1" customWidth="1"/>
    <col min="6420" max="6424" width="13.59765625" style="7" customWidth="1"/>
    <col min="6425" max="6425" width="11" style="7" bestFit="1" customWidth="1"/>
    <col min="6426" max="6656" width="9" style="7"/>
    <col min="6657" max="6657" width="9" style="7" bestFit="1"/>
    <col min="6658" max="6658" width="5.19921875" style="7" bestFit="1" customWidth="1"/>
    <col min="6659" max="6659" width="11" style="7" bestFit="1" customWidth="1"/>
    <col min="6660" max="6660" width="9" style="7"/>
    <col min="6661" max="6661" width="7.09765625" style="7" bestFit="1" customWidth="1"/>
    <col min="6662" max="6663" width="9.19921875" style="7" bestFit="1" customWidth="1"/>
    <col min="6664" max="6664" width="8" style="7" customWidth="1"/>
    <col min="6665" max="6665" width="13.59765625" style="7" customWidth="1"/>
    <col min="6666" max="6666" width="9" style="7"/>
    <col min="6667" max="6667" width="21.3984375" style="7" bestFit="1" customWidth="1"/>
    <col min="6668" max="6668" width="44.5" style="7" bestFit="1" customWidth="1"/>
    <col min="6669" max="6669" width="7.09765625" style="7" bestFit="1" customWidth="1"/>
    <col min="6670" max="6674" width="13.59765625" style="7" customWidth="1"/>
    <col min="6675" max="6675" width="5.19921875" style="7" bestFit="1" customWidth="1"/>
    <col min="6676" max="6680" width="13.59765625" style="7" customWidth="1"/>
    <col min="6681" max="6681" width="11" style="7" bestFit="1" customWidth="1"/>
    <col min="6682" max="6912" width="9" style="7"/>
    <col min="6913" max="6913" width="9" style="7" bestFit="1"/>
    <col min="6914" max="6914" width="5.19921875" style="7" bestFit="1" customWidth="1"/>
    <col min="6915" max="6915" width="11" style="7" bestFit="1" customWidth="1"/>
    <col min="6916" max="6916" width="9" style="7"/>
    <col min="6917" max="6917" width="7.09765625" style="7" bestFit="1" customWidth="1"/>
    <col min="6918" max="6919" width="9.19921875" style="7" bestFit="1" customWidth="1"/>
    <col min="6920" max="6920" width="8" style="7" customWidth="1"/>
    <col min="6921" max="6921" width="13.59765625" style="7" customWidth="1"/>
    <col min="6922" max="6922" width="9" style="7"/>
    <col min="6923" max="6923" width="21.3984375" style="7" bestFit="1" customWidth="1"/>
    <col min="6924" max="6924" width="44.5" style="7" bestFit="1" customWidth="1"/>
    <col min="6925" max="6925" width="7.09765625" style="7" bestFit="1" customWidth="1"/>
    <col min="6926" max="6930" width="13.59765625" style="7" customWidth="1"/>
    <col min="6931" max="6931" width="5.19921875" style="7" bestFit="1" customWidth="1"/>
    <col min="6932" max="6936" width="13.59765625" style="7" customWidth="1"/>
    <col min="6937" max="6937" width="11" style="7" bestFit="1" customWidth="1"/>
    <col min="6938" max="7168" width="9" style="7"/>
    <col min="7169" max="7169" width="9" style="7" bestFit="1"/>
    <col min="7170" max="7170" width="5.19921875" style="7" bestFit="1" customWidth="1"/>
    <col min="7171" max="7171" width="11" style="7" bestFit="1" customWidth="1"/>
    <col min="7172" max="7172" width="9" style="7"/>
    <col min="7173" max="7173" width="7.09765625" style="7" bestFit="1" customWidth="1"/>
    <col min="7174" max="7175" width="9.19921875" style="7" bestFit="1" customWidth="1"/>
    <col min="7176" max="7176" width="8" style="7" customWidth="1"/>
    <col min="7177" max="7177" width="13.59765625" style="7" customWidth="1"/>
    <col min="7178" max="7178" width="9" style="7"/>
    <col min="7179" max="7179" width="21.3984375" style="7" bestFit="1" customWidth="1"/>
    <col min="7180" max="7180" width="44.5" style="7" bestFit="1" customWidth="1"/>
    <col min="7181" max="7181" width="7.09765625" style="7" bestFit="1" customWidth="1"/>
    <col min="7182" max="7186" width="13.59765625" style="7" customWidth="1"/>
    <col min="7187" max="7187" width="5.19921875" style="7" bestFit="1" customWidth="1"/>
    <col min="7188" max="7192" width="13.59765625" style="7" customWidth="1"/>
    <col min="7193" max="7193" width="11" style="7" bestFit="1" customWidth="1"/>
    <col min="7194" max="7424" width="9" style="7"/>
    <col min="7425" max="7425" width="9" style="7" bestFit="1"/>
    <col min="7426" max="7426" width="5.19921875" style="7" bestFit="1" customWidth="1"/>
    <col min="7427" max="7427" width="11" style="7" bestFit="1" customWidth="1"/>
    <col min="7428" max="7428" width="9" style="7"/>
    <col min="7429" max="7429" width="7.09765625" style="7" bestFit="1" customWidth="1"/>
    <col min="7430" max="7431" width="9.19921875" style="7" bestFit="1" customWidth="1"/>
    <col min="7432" max="7432" width="8" style="7" customWidth="1"/>
    <col min="7433" max="7433" width="13.59765625" style="7" customWidth="1"/>
    <col min="7434" max="7434" width="9" style="7"/>
    <col min="7435" max="7435" width="21.3984375" style="7" bestFit="1" customWidth="1"/>
    <col min="7436" max="7436" width="44.5" style="7" bestFit="1" customWidth="1"/>
    <col min="7437" max="7437" width="7.09765625" style="7" bestFit="1" customWidth="1"/>
    <col min="7438" max="7442" width="13.59765625" style="7" customWidth="1"/>
    <col min="7443" max="7443" width="5.19921875" style="7" bestFit="1" customWidth="1"/>
    <col min="7444" max="7448" width="13.59765625" style="7" customWidth="1"/>
    <col min="7449" max="7449" width="11" style="7" bestFit="1" customWidth="1"/>
    <col min="7450" max="7680" width="9" style="7"/>
    <col min="7681" max="7681" width="9" style="7" bestFit="1"/>
    <col min="7682" max="7682" width="5.19921875" style="7" bestFit="1" customWidth="1"/>
    <col min="7683" max="7683" width="11" style="7" bestFit="1" customWidth="1"/>
    <col min="7684" max="7684" width="9" style="7"/>
    <col min="7685" max="7685" width="7.09765625" style="7" bestFit="1" customWidth="1"/>
    <col min="7686" max="7687" width="9.19921875" style="7" bestFit="1" customWidth="1"/>
    <col min="7688" max="7688" width="8" style="7" customWidth="1"/>
    <col min="7689" max="7689" width="13.59765625" style="7" customWidth="1"/>
    <col min="7690" max="7690" width="9" style="7"/>
    <col min="7691" max="7691" width="21.3984375" style="7" bestFit="1" customWidth="1"/>
    <col min="7692" max="7692" width="44.5" style="7" bestFit="1" customWidth="1"/>
    <col min="7693" max="7693" width="7.09765625" style="7" bestFit="1" customWidth="1"/>
    <col min="7694" max="7698" width="13.59765625" style="7" customWidth="1"/>
    <col min="7699" max="7699" width="5.19921875" style="7" bestFit="1" customWidth="1"/>
    <col min="7700" max="7704" width="13.59765625" style="7" customWidth="1"/>
    <col min="7705" max="7705" width="11" style="7" bestFit="1" customWidth="1"/>
    <col min="7706" max="7936" width="9" style="7"/>
    <col min="7937" max="7937" width="9" style="7" bestFit="1"/>
    <col min="7938" max="7938" width="5.19921875" style="7" bestFit="1" customWidth="1"/>
    <col min="7939" max="7939" width="11" style="7" bestFit="1" customWidth="1"/>
    <col min="7940" max="7940" width="9" style="7"/>
    <col min="7941" max="7941" width="7.09765625" style="7" bestFit="1" customWidth="1"/>
    <col min="7942" max="7943" width="9.19921875" style="7" bestFit="1" customWidth="1"/>
    <col min="7944" max="7944" width="8" style="7" customWidth="1"/>
    <col min="7945" max="7945" width="13.59765625" style="7" customWidth="1"/>
    <col min="7946" max="7946" width="9" style="7"/>
    <col min="7947" max="7947" width="21.3984375" style="7" bestFit="1" customWidth="1"/>
    <col min="7948" max="7948" width="44.5" style="7" bestFit="1" customWidth="1"/>
    <col min="7949" max="7949" width="7.09765625" style="7" bestFit="1" customWidth="1"/>
    <col min="7950" max="7954" width="13.59765625" style="7" customWidth="1"/>
    <col min="7955" max="7955" width="5.19921875" style="7" bestFit="1" customWidth="1"/>
    <col min="7956" max="7960" width="13.59765625" style="7" customWidth="1"/>
    <col min="7961" max="7961" width="11" style="7" bestFit="1" customWidth="1"/>
    <col min="7962" max="8192" width="9" style="7"/>
    <col min="8193" max="8193" width="9" style="7" bestFit="1"/>
    <col min="8194" max="8194" width="5.19921875" style="7" bestFit="1" customWidth="1"/>
    <col min="8195" max="8195" width="11" style="7" bestFit="1" customWidth="1"/>
    <col min="8196" max="8196" width="9" style="7"/>
    <col min="8197" max="8197" width="7.09765625" style="7" bestFit="1" customWidth="1"/>
    <col min="8198" max="8199" width="9.19921875" style="7" bestFit="1" customWidth="1"/>
    <col min="8200" max="8200" width="8" style="7" customWidth="1"/>
    <col min="8201" max="8201" width="13.59765625" style="7" customWidth="1"/>
    <col min="8202" max="8202" width="9" style="7"/>
    <col min="8203" max="8203" width="21.3984375" style="7" bestFit="1" customWidth="1"/>
    <col min="8204" max="8204" width="44.5" style="7" bestFit="1" customWidth="1"/>
    <col min="8205" max="8205" width="7.09765625" style="7" bestFit="1" customWidth="1"/>
    <col min="8206" max="8210" width="13.59765625" style="7" customWidth="1"/>
    <col min="8211" max="8211" width="5.19921875" style="7" bestFit="1" customWidth="1"/>
    <col min="8212" max="8216" width="13.59765625" style="7" customWidth="1"/>
    <col min="8217" max="8217" width="11" style="7" bestFit="1" customWidth="1"/>
    <col min="8218" max="8448" width="9" style="7"/>
    <col min="8449" max="8449" width="9" style="7" bestFit="1"/>
    <col min="8450" max="8450" width="5.19921875" style="7" bestFit="1" customWidth="1"/>
    <col min="8451" max="8451" width="11" style="7" bestFit="1" customWidth="1"/>
    <col min="8452" max="8452" width="9" style="7"/>
    <col min="8453" max="8453" width="7.09765625" style="7" bestFit="1" customWidth="1"/>
    <col min="8454" max="8455" width="9.19921875" style="7" bestFit="1" customWidth="1"/>
    <col min="8456" max="8456" width="8" style="7" customWidth="1"/>
    <col min="8457" max="8457" width="13.59765625" style="7" customWidth="1"/>
    <col min="8458" max="8458" width="9" style="7"/>
    <col min="8459" max="8459" width="21.3984375" style="7" bestFit="1" customWidth="1"/>
    <col min="8460" max="8460" width="44.5" style="7" bestFit="1" customWidth="1"/>
    <col min="8461" max="8461" width="7.09765625" style="7" bestFit="1" customWidth="1"/>
    <col min="8462" max="8466" width="13.59765625" style="7" customWidth="1"/>
    <col min="8467" max="8467" width="5.19921875" style="7" bestFit="1" customWidth="1"/>
    <col min="8468" max="8472" width="13.59765625" style="7" customWidth="1"/>
    <col min="8473" max="8473" width="11" style="7" bestFit="1" customWidth="1"/>
    <col min="8474" max="8704" width="9" style="7"/>
    <col min="8705" max="8705" width="9" style="7" bestFit="1"/>
    <col min="8706" max="8706" width="5.19921875" style="7" bestFit="1" customWidth="1"/>
    <col min="8707" max="8707" width="11" style="7" bestFit="1" customWidth="1"/>
    <col min="8708" max="8708" width="9" style="7"/>
    <col min="8709" max="8709" width="7.09765625" style="7" bestFit="1" customWidth="1"/>
    <col min="8710" max="8711" width="9.19921875" style="7" bestFit="1" customWidth="1"/>
    <col min="8712" max="8712" width="8" style="7" customWidth="1"/>
    <col min="8713" max="8713" width="13.59765625" style="7" customWidth="1"/>
    <col min="8714" max="8714" width="9" style="7"/>
    <col min="8715" max="8715" width="21.3984375" style="7" bestFit="1" customWidth="1"/>
    <col min="8716" max="8716" width="44.5" style="7" bestFit="1" customWidth="1"/>
    <col min="8717" max="8717" width="7.09765625" style="7" bestFit="1" customWidth="1"/>
    <col min="8718" max="8722" width="13.59765625" style="7" customWidth="1"/>
    <col min="8723" max="8723" width="5.19921875" style="7" bestFit="1" customWidth="1"/>
    <col min="8724" max="8728" width="13.59765625" style="7" customWidth="1"/>
    <col min="8729" max="8729" width="11" style="7" bestFit="1" customWidth="1"/>
    <col min="8730" max="8960" width="9" style="7"/>
    <col min="8961" max="8961" width="9" style="7" bestFit="1"/>
    <col min="8962" max="8962" width="5.19921875" style="7" bestFit="1" customWidth="1"/>
    <col min="8963" max="8963" width="11" style="7" bestFit="1" customWidth="1"/>
    <col min="8964" max="8964" width="9" style="7"/>
    <col min="8965" max="8965" width="7.09765625" style="7" bestFit="1" customWidth="1"/>
    <col min="8966" max="8967" width="9.19921875" style="7" bestFit="1" customWidth="1"/>
    <col min="8968" max="8968" width="8" style="7" customWidth="1"/>
    <col min="8969" max="8969" width="13.59765625" style="7" customWidth="1"/>
    <col min="8970" max="8970" width="9" style="7"/>
    <col min="8971" max="8971" width="21.3984375" style="7" bestFit="1" customWidth="1"/>
    <col min="8972" max="8972" width="44.5" style="7" bestFit="1" customWidth="1"/>
    <col min="8973" max="8973" width="7.09765625" style="7" bestFit="1" customWidth="1"/>
    <col min="8974" max="8978" width="13.59765625" style="7" customWidth="1"/>
    <col min="8979" max="8979" width="5.19921875" style="7" bestFit="1" customWidth="1"/>
    <col min="8980" max="8984" width="13.59765625" style="7" customWidth="1"/>
    <col min="8985" max="8985" width="11" style="7" bestFit="1" customWidth="1"/>
    <col min="8986" max="9216" width="9" style="7"/>
    <col min="9217" max="9217" width="9" style="7" bestFit="1"/>
    <col min="9218" max="9218" width="5.19921875" style="7" bestFit="1" customWidth="1"/>
    <col min="9219" max="9219" width="11" style="7" bestFit="1" customWidth="1"/>
    <col min="9220" max="9220" width="9" style="7"/>
    <col min="9221" max="9221" width="7.09765625" style="7" bestFit="1" customWidth="1"/>
    <col min="9222" max="9223" width="9.19921875" style="7" bestFit="1" customWidth="1"/>
    <col min="9224" max="9224" width="8" style="7" customWidth="1"/>
    <col min="9225" max="9225" width="13.59765625" style="7" customWidth="1"/>
    <col min="9226" max="9226" width="9" style="7"/>
    <col min="9227" max="9227" width="21.3984375" style="7" bestFit="1" customWidth="1"/>
    <col min="9228" max="9228" width="44.5" style="7" bestFit="1" customWidth="1"/>
    <col min="9229" max="9229" width="7.09765625" style="7" bestFit="1" customWidth="1"/>
    <col min="9230" max="9234" width="13.59765625" style="7" customWidth="1"/>
    <col min="9235" max="9235" width="5.19921875" style="7" bestFit="1" customWidth="1"/>
    <col min="9236" max="9240" width="13.59765625" style="7" customWidth="1"/>
    <col min="9241" max="9241" width="11" style="7" bestFit="1" customWidth="1"/>
    <col min="9242" max="9472" width="9" style="7"/>
    <col min="9473" max="9473" width="9" style="7" bestFit="1"/>
    <col min="9474" max="9474" width="5.19921875" style="7" bestFit="1" customWidth="1"/>
    <col min="9475" max="9475" width="11" style="7" bestFit="1" customWidth="1"/>
    <col min="9476" max="9476" width="9" style="7"/>
    <col min="9477" max="9477" width="7.09765625" style="7" bestFit="1" customWidth="1"/>
    <col min="9478" max="9479" width="9.19921875" style="7" bestFit="1" customWidth="1"/>
    <col min="9480" max="9480" width="8" style="7" customWidth="1"/>
    <col min="9481" max="9481" width="13.59765625" style="7" customWidth="1"/>
    <col min="9482" max="9482" width="9" style="7"/>
    <col min="9483" max="9483" width="21.3984375" style="7" bestFit="1" customWidth="1"/>
    <col min="9484" max="9484" width="44.5" style="7" bestFit="1" customWidth="1"/>
    <col min="9485" max="9485" width="7.09765625" style="7" bestFit="1" customWidth="1"/>
    <col min="9486" max="9490" width="13.59765625" style="7" customWidth="1"/>
    <col min="9491" max="9491" width="5.19921875" style="7" bestFit="1" customWidth="1"/>
    <col min="9492" max="9496" width="13.59765625" style="7" customWidth="1"/>
    <col min="9497" max="9497" width="11" style="7" bestFit="1" customWidth="1"/>
    <col min="9498" max="9728" width="9" style="7"/>
    <col min="9729" max="9729" width="9" style="7" bestFit="1"/>
    <col min="9730" max="9730" width="5.19921875" style="7" bestFit="1" customWidth="1"/>
    <col min="9731" max="9731" width="11" style="7" bestFit="1" customWidth="1"/>
    <col min="9732" max="9732" width="9" style="7"/>
    <col min="9733" max="9733" width="7.09765625" style="7" bestFit="1" customWidth="1"/>
    <col min="9734" max="9735" width="9.19921875" style="7" bestFit="1" customWidth="1"/>
    <col min="9736" max="9736" width="8" style="7" customWidth="1"/>
    <col min="9737" max="9737" width="13.59765625" style="7" customWidth="1"/>
    <col min="9738" max="9738" width="9" style="7"/>
    <col min="9739" max="9739" width="21.3984375" style="7" bestFit="1" customWidth="1"/>
    <col min="9740" max="9740" width="44.5" style="7" bestFit="1" customWidth="1"/>
    <col min="9741" max="9741" width="7.09765625" style="7" bestFit="1" customWidth="1"/>
    <col min="9742" max="9746" width="13.59765625" style="7" customWidth="1"/>
    <col min="9747" max="9747" width="5.19921875" style="7" bestFit="1" customWidth="1"/>
    <col min="9748" max="9752" width="13.59765625" style="7" customWidth="1"/>
    <col min="9753" max="9753" width="11" style="7" bestFit="1" customWidth="1"/>
    <col min="9754" max="9984" width="9" style="7"/>
    <col min="9985" max="9985" width="9" style="7" bestFit="1"/>
    <col min="9986" max="9986" width="5.19921875" style="7" bestFit="1" customWidth="1"/>
    <col min="9987" max="9987" width="11" style="7" bestFit="1" customWidth="1"/>
    <col min="9988" max="9988" width="9" style="7"/>
    <col min="9989" max="9989" width="7.09765625" style="7" bestFit="1" customWidth="1"/>
    <col min="9990" max="9991" width="9.19921875" style="7" bestFit="1" customWidth="1"/>
    <col min="9992" max="9992" width="8" style="7" customWidth="1"/>
    <col min="9993" max="9993" width="13.59765625" style="7" customWidth="1"/>
    <col min="9994" max="9994" width="9" style="7"/>
    <col min="9995" max="9995" width="21.3984375" style="7" bestFit="1" customWidth="1"/>
    <col min="9996" max="9996" width="44.5" style="7" bestFit="1" customWidth="1"/>
    <col min="9997" max="9997" width="7.09765625" style="7" bestFit="1" customWidth="1"/>
    <col min="9998" max="10002" width="13.59765625" style="7" customWidth="1"/>
    <col min="10003" max="10003" width="5.19921875" style="7" bestFit="1" customWidth="1"/>
    <col min="10004" max="10008" width="13.59765625" style="7" customWidth="1"/>
    <col min="10009" max="10009" width="11" style="7" bestFit="1" customWidth="1"/>
    <col min="10010" max="10240" width="9" style="7"/>
    <col min="10241" max="10241" width="9" style="7" bestFit="1"/>
    <col min="10242" max="10242" width="5.19921875" style="7" bestFit="1" customWidth="1"/>
    <col min="10243" max="10243" width="11" style="7" bestFit="1" customWidth="1"/>
    <col min="10244" max="10244" width="9" style="7"/>
    <col min="10245" max="10245" width="7.09765625" style="7" bestFit="1" customWidth="1"/>
    <col min="10246" max="10247" width="9.19921875" style="7" bestFit="1" customWidth="1"/>
    <col min="10248" max="10248" width="8" style="7" customWidth="1"/>
    <col min="10249" max="10249" width="13.59765625" style="7" customWidth="1"/>
    <col min="10250" max="10250" width="9" style="7"/>
    <col min="10251" max="10251" width="21.3984375" style="7" bestFit="1" customWidth="1"/>
    <col min="10252" max="10252" width="44.5" style="7" bestFit="1" customWidth="1"/>
    <col min="10253" max="10253" width="7.09765625" style="7" bestFit="1" customWidth="1"/>
    <col min="10254" max="10258" width="13.59765625" style="7" customWidth="1"/>
    <col min="10259" max="10259" width="5.19921875" style="7" bestFit="1" customWidth="1"/>
    <col min="10260" max="10264" width="13.59765625" style="7" customWidth="1"/>
    <col min="10265" max="10265" width="11" style="7" bestFit="1" customWidth="1"/>
    <col min="10266" max="10496" width="9" style="7"/>
    <col min="10497" max="10497" width="9" style="7" bestFit="1"/>
    <col min="10498" max="10498" width="5.19921875" style="7" bestFit="1" customWidth="1"/>
    <col min="10499" max="10499" width="11" style="7" bestFit="1" customWidth="1"/>
    <col min="10500" max="10500" width="9" style="7"/>
    <col min="10501" max="10501" width="7.09765625" style="7" bestFit="1" customWidth="1"/>
    <col min="10502" max="10503" width="9.19921875" style="7" bestFit="1" customWidth="1"/>
    <col min="10504" max="10504" width="8" style="7" customWidth="1"/>
    <col min="10505" max="10505" width="13.59765625" style="7" customWidth="1"/>
    <col min="10506" max="10506" width="9" style="7"/>
    <col min="10507" max="10507" width="21.3984375" style="7" bestFit="1" customWidth="1"/>
    <col min="10508" max="10508" width="44.5" style="7" bestFit="1" customWidth="1"/>
    <col min="10509" max="10509" width="7.09765625" style="7" bestFit="1" customWidth="1"/>
    <col min="10510" max="10514" width="13.59765625" style="7" customWidth="1"/>
    <col min="10515" max="10515" width="5.19921875" style="7" bestFit="1" customWidth="1"/>
    <col min="10516" max="10520" width="13.59765625" style="7" customWidth="1"/>
    <col min="10521" max="10521" width="11" style="7" bestFit="1" customWidth="1"/>
    <col min="10522" max="10752" width="9" style="7"/>
    <col min="10753" max="10753" width="9" style="7" bestFit="1"/>
    <col min="10754" max="10754" width="5.19921875" style="7" bestFit="1" customWidth="1"/>
    <col min="10755" max="10755" width="11" style="7" bestFit="1" customWidth="1"/>
    <col min="10756" max="10756" width="9" style="7"/>
    <col min="10757" max="10757" width="7.09765625" style="7" bestFit="1" customWidth="1"/>
    <col min="10758" max="10759" width="9.19921875" style="7" bestFit="1" customWidth="1"/>
    <col min="10760" max="10760" width="8" style="7" customWidth="1"/>
    <col min="10761" max="10761" width="13.59765625" style="7" customWidth="1"/>
    <col min="10762" max="10762" width="9" style="7"/>
    <col min="10763" max="10763" width="21.3984375" style="7" bestFit="1" customWidth="1"/>
    <col min="10764" max="10764" width="44.5" style="7" bestFit="1" customWidth="1"/>
    <col min="10765" max="10765" width="7.09765625" style="7" bestFit="1" customWidth="1"/>
    <col min="10766" max="10770" width="13.59765625" style="7" customWidth="1"/>
    <col min="10771" max="10771" width="5.19921875" style="7" bestFit="1" customWidth="1"/>
    <col min="10772" max="10776" width="13.59765625" style="7" customWidth="1"/>
    <col min="10777" max="10777" width="11" style="7" bestFit="1" customWidth="1"/>
    <col min="10778" max="11008" width="9" style="7"/>
    <col min="11009" max="11009" width="9" style="7" bestFit="1"/>
    <col min="11010" max="11010" width="5.19921875" style="7" bestFit="1" customWidth="1"/>
    <col min="11011" max="11011" width="11" style="7" bestFit="1" customWidth="1"/>
    <col min="11012" max="11012" width="9" style="7"/>
    <col min="11013" max="11013" width="7.09765625" style="7" bestFit="1" customWidth="1"/>
    <col min="11014" max="11015" width="9.19921875" style="7" bestFit="1" customWidth="1"/>
    <col min="11016" max="11016" width="8" style="7" customWidth="1"/>
    <col min="11017" max="11017" width="13.59765625" style="7" customWidth="1"/>
    <col min="11018" max="11018" width="9" style="7"/>
    <col min="11019" max="11019" width="21.3984375" style="7" bestFit="1" customWidth="1"/>
    <col min="11020" max="11020" width="44.5" style="7" bestFit="1" customWidth="1"/>
    <col min="11021" max="11021" width="7.09765625" style="7" bestFit="1" customWidth="1"/>
    <col min="11022" max="11026" width="13.59765625" style="7" customWidth="1"/>
    <col min="11027" max="11027" width="5.19921875" style="7" bestFit="1" customWidth="1"/>
    <col min="11028" max="11032" width="13.59765625" style="7" customWidth="1"/>
    <col min="11033" max="11033" width="11" style="7" bestFit="1" customWidth="1"/>
    <col min="11034" max="11264" width="9" style="7"/>
    <col min="11265" max="11265" width="9" style="7" bestFit="1"/>
    <col min="11266" max="11266" width="5.19921875" style="7" bestFit="1" customWidth="1"/>
    <col min="11267" max="11267" width="11" style="7" bestFit="1" customWidth="1"/>
    <col min="11268" max="11268" width="9" style="7"/>
    <col min="11269" max="11269" width="7.09765625" style="7" bestFit="1" customWidth="1"/>
    <col min="11270" max="11271" width="9.19921875" style="7" bestFit="1" customWidth="1"/>
    <col min="11272" max="11272" width="8" style="7" customWidth="1"/>
    <col min="11273" max="11273" width="13.59765625" style="7" customWidth="1"/>
    <col min="11274" max="11274" width="9" style="7"/>
    <col min="11275" max="11275" width="21.3984375" style="7" bestFit="1" customWidth="1"/>
    <col min="11276" max="11276" width="44.5" style="7" bestFit="1" customWidth="1"/>
    <col min="11277" max="11277" width="7.09765625" style="7" bestFit="1" customWidth="1"/>
    <col min="11278" max="11282" width="13.59765625" style="7" customWidth="1"/>
    <col min="11283" max="11283" width="5.19921875" style="7" bestFit="1" customWidth="1"/>
    <col min="11284" max="11288" width="13.59765625" style="7" customWidth="1"/>
    <col min="11289" max="11289" width="11" style="7" bestFit="1" customWidth="1"/>
    <col min="11290" max="11520" width="9" style="7"/>
    <col min="11521" max="11521" width="9" style="7" bestFit="1"/>
    <col min="11522" max="11522" width="5.19921875" style="7" bestFit="1" customWidth="1"/>
    <col min="11523" max="11523" width="11" style="7" bestFit="1" customWidth="1"/>
    <col min="11524" max="11524" width="9" style="7"/>
    <col min="11525" max="11525" width="7.09765625" style="7" bestFit="1" customWidth="1"/>
    <col min="11526" max="11527" width="9.19921875" style="7" bestFit="1" customWidth="1"/>
    <col min="11528" max="11528" width="8" style="7" customWidth="1"/>
    <col min="11529" max="11529" width="13.59765625" style="7" customWidth="1"/>
    <col min="11530" max="11530" width="9" style="7"/>
    <col min="11531" max="11531" width="21.3984375" style="7" bestFit="1" customWidth="1"/>
    <col min="11532" max="11532" width="44.5" style="7" bestFit="1" customWidth="1"/>
    <col min="11533" max="11533" width="7.09765625" style="7" bestFit="1" customWidth="1"/>
    <col min="11534" max="11538" width="13.59765625" style="7" customWidth="1"/>
    <col min="11539" max="11539" width="5.19921875" style="7" bestFit="1" customWidth="1"/>
    <col min="11540" max="11544" width="13.59765625" style="7" customWidth="1"/>
    <col min="11545" max="11545" width="11" style="7" bestFit="1" customWidth="1"/>
    <col min="11546" max="11776" width="9" style="7"/>
    <col min="11777" max="11777" width="9" style="7" bestFit="1"/>
    <col min="11778" max="11778" width="5.19921875" style="7" bestFit="1" customWidth="1"/>
    <col min="11779" max="11779" width="11" style="7" bestFit="1" customWidth="1"/>
    <col min="11780" max="11780" width="9" style="7"/>
    <col min="11781" max="11781" width="7.09765625" style="7" bestFit="1" customWidth="1"/>
    <col min="11782" max="11783" width="9.19921875" style="7" bestFit="1" customWidth="1"/>
    <col min="11784" max="11784" width="8" style="7" customWidth="1"/>
    <col min="11785" max="11785" width="13.59765625" style="7" customWidth="1"/>
    <col min="11786" max="11786" width="9" style="7"/>
    <col min="11787" max="11787" width="21.3984375" style="7" bestFit="1" customWidth="1"/>
    <col min="11788" max="11788" width="44.5" style="7" bestFit="1" customWidth="1"/>
    <col min="11789" max="11789" width="7.09765625" style="7" bestFit="1" customWidth="1"/>
    <col min="11790" max="11794" width="13.59765625" style="7" customWidth="1"/>
    <col min="11795" max="11795" width="5.19921875" style="7" bestFit="1" customWidth="1"/>
    <col min="11796" max="11800" width="13.59765625" style="7" customWidth="1"/>
    <col min="11801" max="11801" width="11" style="7" bestFit="1" customWidth="1"/>
    <col min="11802" max="12032" width="9" style="7"/>
    <col min="12033" max="12033" width="9" style="7" bestFit="1"/>
    <col min="12034" max="12034" width="5.19921875" style="7" bestFit="1" customWidth="1"/>
    <col min="12035" max="12035" width="11" style="7" bestFit="1" customWidth="1"/>
    <col min="12036" max="12036" width="9" style="7"/>
    <col min="12037" max="12037" width="7.09765625" style="7" bestFit="1" customWidth="1"/>
    <col min="12038" max="12039" width="9.19921875" style="7" bestFit="1" customWidth="1"/>
    <col min="12040" max="12040" width="8" style="7" customWidth="1"/>
    <col min="12041" max="12041" width="13.59765625" style="7" customWidth="1"/>
    <col min="12042" max="12042" width="9" style="7"/>
    <col min="12043" max="12043" width="21.3984375" style="7" bestFit="1" customWidth="1"/>
    <col min="12044" max="12044" width="44.5" style="7" bestFit="1" customWidth="1"/>
    <col min="12045" max="12045" width="7.09765625" style="7" bestFit="1" customWidth="1"/>
    <col min="12046" max="12050" width="13.59765625" style="7" customWidth="1"/>
    <col min="12051" max="12051" width="5.19921875" style="7" bestFit="1" customWidth="1"/>
    <col min="12052" max="12056" width="13.59765625" style="7" customWidth="1"/>
    <col min="12057" max="12057" width="11" style="7" bestFit="1" customWidth="1"/>
    <col min="12058" max="12288" width="9" style="7"/>
    <col min="12289" max="12289" width="9" style="7" bestFit="1"/>
    <col min="12290" max="12290" width="5.19921875" style="7" bestFit="1" customWidth="1"/>
    <col min="12291" max="12291" width="11" style="7" bestFit="1" customWidth="1"/>
    <col min="12292" max="12292" width="9" style="7"/>
    <col min="12293" max="12293" width="7.09765625" style="7" bestFit="1" customWidth="1"/>
    <col min="12294" max="12295" width="9.19921875" style="7" bestFit="1" customWidth="1"/>
    <col min="12296" max="12296" width="8" style="7" customWidth="1"/>
    <col min="12297" max="12297" width="13.59765625" style="7" customWidth="1"/>
    <col min="12298" max="12298" width="9" style="7"/>
    <col min="12299" max="12299" width="21.3984375" style="7" bestFit="1" customWidth="1"/>
    <col min="12300" max="12300" width="44.5" style="7" bestFit="1" customWidth="1"/>
    <col min="12301" max="12301" width="7.09765625" style="7" bestFit="1" customWidth="1"/>
    <col min="12302" max="12306" width="13.59765625" style="7" customWidth="1"/>
    <col min="12307" max="12307" width="5.19921875" style="7" bestFit="1" customWidth="1"/>
    <col min="12308" max="12312" width="13.59765625" style="7" customWidth="1"/>
    <col min="12313" max="12313" width="11" style="7" bestFit="1" customWidth="1"/>
    <col min="12314" max="12544" width="9" style="7"/>
    <col min="12545" max="12545" width="9" style="7" bestFit="1"/>
    <col min="12546" max="12546" width="5.19921875" style="7" bestFit="1" customWidth="1"/>
    <col min="12547" max="12547" width="11" style="7" bestFit="1" customWidth="1"/>
    <col min="12548" max="12548" width="9" style="7"/>
    <col min="12549" max="12549" width="7.09765625" style="7" bestFit="1" customWidth="1"/>
    <col min="12550" max="12551" width="9.19921875" style="7" bestFit="1" customWidth="1"/>
    <col min="12552" max="12552" width="8" style="7" customWidth="1"/>
    <col min="12553" max="12553" width="13.59765625" style="7" customWidth="1"/>
    <col min="12554" max="12554" width="9" style="7"/>
    <col min="12555" max="12555" width="21.3984375" style="7" bestFit="1" customWidth="1"/>
    <col min="12556" max="12556" width="44.5" style="7" bestFit="1" customWidth="1"/>
    <col min="12557" max="12557" width="7.09765625" style="7" bestFit="1" customWidth="1"/>
    <col min="12558" max="12562" width="13.59765625" style="7" customWidth="1"/>
    <col min="12563" max="12563" width="5.19921875" style="7" bestFit="1" customWidth="1"/>
    <col min="12564" max="12568" width="13.59765625" style="7" customWidth="1"/>
    <col min="12569" max="12569" width="11" style="7" bestFit="1" customWidth="1"/>
    <col min="12570" max="12800" width="9" style="7"/>
    <col min="12801" max="12801" width="9" style="7" bestFit="1"/>
    <col min="12802" max="12802" width="5.19921875" style="7" bestFit="1" customWidth="1"/>
    <col min="12803" max="12803" width="11" style="7" bestFit="1" customWidth="1"/>
    <col min="12804" max="12804" width="9" style="7"/>
    <col min="12805" max="12805" width="7.09765625" style="7" bestFit="1" customWidth="1"/>
    <col min="12806" max="12807" width="9.19921875" style="7" bestFit="1" customWidth="1"/>
    <col min="12808" max="12808" width="8" style="7" customWidth="1"/>
    <col min="12809" max="12809" width="13.59765625" style="7" customWidth="1"/>
    <col min="12810" max="12810" width="9" style="7"/>
    <col min="12811" max="12811" width="21.3984375" style="7" bestFit="1" customWidth="1"/>
    <col min="12812" max="12812" width="44.5" style="7" bestFit="1" customWidth="1"/>
    <col min="12813" max="12813" width="7.09765625" style="7" bestFit="1" customWidth="1"/>
    <col min="12814" max="12818" width="13.59765625" style="7" customWidth="1"/>
    <col min="12819" max="12819" width="5.19921875" style="7" bestFit="1" customWidth="1"/>
    <col min="12820" max="12824" width="13.59765625" style="7" customWidth="1"/>
    <col min="12825" max="12825" width="11" style="7" bestFit="1" customWidth="1"/>
    <col min="12826" max="13056" width="9" style="7"/>
    <col min="13057" max="13057" width="9" style="7" bestFit="1"/>
    <col min="13058" max="13058" width="5.19921875" style="7" bestFit="1" customWidth="1"/>
    <col min="13059" max="13059" width="11" style="7" bestFit="1" customWidth="1"/>
    <col min="13060" max="13060" width="9" style="7"/>
    <col min="13061" max="13061" width="7.09765625" style="7" bestFit="1" customWidth="1"/>
    <col min="13062" max="13063" width="9.19921875" style="7" bestFit="1" customWidth="1"/>
    <col min="13064" max="13064" width="8" style="7" customWidth="1"/>
    <col min="13065" max="13065" width="13.59765625" style="7" customWidth="1"/>
    <col min="13066" max="13066" width="9" style="7"/>
    <col min="13067" max="13067" width="21.3984375" style="7" bestFit="1" customWidth="1"/>
    <col min="13068" max="13068" width="44.5" style="7" bestFit="1" customWidth="1"/>
    <col min="13069" max="13069" width="7.09765625" style="7" bestFit="1" customWidth="1"/>
    <col min="13070" max="13074" width="13.59765625" style="7" customWidth="1"/>
    <col min="13075" max="13075" width="5.19921875" style="7" bestFit="1" customWidth="1"/>
    <col min="13076" max="13080" width="13.59765625" style="7" customWidth="1"/>
    <col min="13081" max="13081" width="11" style="7" bestFit="1" customWidth="1"/>
    <col min="13082" max="13312" width="9" style="7"/>
    <col min="13313" max="13313" width="9" style="7" bestFit="1"/>
    <col min="13314" max="13314" width="5.19921875" style="7" bestFit="1" customWidth="1"/>
    <col min="13315" max="13315" width="11" style="7" bestFit="1" customWidth="1"/>
    <col min="13316" max="13316" width="9" style="7"/>
    <col min="13317" max="13317" width="7.09765625" style="7" bestFit="1" customWidth="1"/>
    <col min="13318" max="13319" width="9.19921875" style="7" bestFit="1" customWidth="1"/>
    <col min="13320" max="13320" width="8" style="7" customWidth="1"/>
    <col min="13321" max="13321" width="13.59765625" style="7" customWidth="1"/>
    <col min="13322" max="13322" width="9" style="7"/>
    <col min="13323" max="13323" width="21.3984375" style="7" bestFit="1" customWidth="1"/>
    <col min="13324" max="13324" width="44.5" style="7" bestFit="1" customWidth="1"/>
    <col min="13325" max="13325" width="7.09765625" style="7" bestFit="1" customWidth="1"/>
    <col min="13326" max="13330" width="13.59765625" style="7" customWidth="1"/>
    <col min="13331" max="13331" width="5.19921875" style="7" bestFit="1" customWidth="1"/>
    <col min="13332" max="13336" width="13.59765625" style="7" customWidth="1"/>
    <col min="13337" max="13337" width="11" style="7" bestFit="1" customWidth="1"/>
    <col min="13338" max="13568" width="9" style="7"/>
    <col min="13569" max="13569" width="9" style="7" bestFit="1"/>
    <col min="13570" max="13570" width="5.19921875" style="7" bestFit="1" customWidth="1"/>
    <col min="13571" max="13571" width="11" style="7" bestFit="1" customWidth="1"/>
    <col min="13572" max="13572" width="9" style="7"/>
    <col min="13573" max="13573" width="7.09765625" style="7" bestFit="1" customWidth="1"/>
    <col min="13574" max="13575" width="9.19921875" style="7" bestFit="1" customWidth="1"/>
    <col min="13576" max="13576" width="8" style="7" customWidth="1"/>
    <col min="13577" max="13577" width="13.59765625" style="7" customWidth="1"/>
    <col min="13578" max="13578" width="9" style="7"/>
    <col min="13579" max="13579" width="21.3984375" style="7" bestFit="1" customWidth="1"/>
    <col min="13580" max="13580" width="44.5" style="7" bestFit="1" customWidth="1"/>
    <col min="13581" max="13581" width="7.09765625" style="7" bestFit="1" customWidth="1"/>
    <col min="13582" max="13586" width="13.59765625" style="7" customWidth="1"/>
    <col min="13587" max="13587" width="5.19921875" style="7" bestFit="1" customWidth="1"/>
    <col min="13588" max="13592" width="13.59765625" style="7" customWidth="1"/>
    <col min="13593" max="13593" width="11" style="7" bestFit="1" customWidth="1"/>
    <col min="13594" max="13824" width="9" style="7"/>
    <col min="13825" max="13825" width="9" style="7" bestFit="1"/>
    <col min="13826" max="13826" width="5.19921875" style="7" bestFit="1" customWidth="1"/>
    <col min="13827" max="13827" width="11" style="7" bestFit="1" customWidth="1"/>
    <col min="13828" max="13828" width="9" style="7"/>
    <col min="13829" max="13829" width="7.09765625" style="7" bestFit="1" customWidth="1"/>
    <col min="13830" max="13831" width="9.19921875" style="7" bestFit="1" customWidth="1"/>
    <col min="13832" max="13832" width="8" style="7" customWidth="1"/>
    <col min="13833" max="13833" width="13.59765625" style="7" customWidth="1"/>
    <col min="13834" max="13834" width="9" style="7"/>
    <col min="13835" max="13835" width="21.3984375" style="7" bestFit="1" customWidth="1"/>
    <col min="13836" max="13836" width="44.5" style="7" bestFit="1" customWidth="1"/>
    <col min="13837" max="13837" width="7.09765625" style="7" bestFit="1" customWidth="1"/>
    <col min="13838" max="13842" width="13.59765625" style="7" customWidth="1"/>
    <col min="13843" max="13843" width="5.19921875" style="7" bestFit="1" customWidth="1"/>
    <col min="13844" max="13848" width="13.59765625" style="7" customWidth="1"/>
    <col min="13849" max="13849" width="11" style="7" bestFit="1" customWidth="1"/>
    <col min="13850" max="14080" width="9" style="7"/>
    <col min="14081" max="14081" width="9" style="7" bestFit="1"/>
    <col min="14082" max="14082" width="5.19921875" style="7" bestFit="1" customWidth="1"/>
    <col min="14083" max="14083" width="11" style="7" bestFit="1" customWidth="1"/>
    <col min="14084" max="14084" width="9" style="7"/>
    <col min="14085" max="14085" width="7.09765625" style="7" bestFit="1" customWidth="1"/>
    <col min="14086" max="14087" width="9.19921875" style="7" bestFit="1" customWidth="1"/>
    <col min="14088" max="14088" width="8" style="7" customWidth="1"/>
    <col min="14089" max="14089" width="13.59765625" style="7" customWidth="1"/>
    <col min="14090" max="14090" width="9" style="7"/>
    <col min="14091" max="14091" width="21.3984375" style="7" bestFit="1" customWidth="1"/>
    <col min="14092" max="14092" width="44.5" style="7" bestFit="1" customWidth="1"/>
    <col min="14093" max="14093" width="7.09765625" style="7" bestFit="1" customWidth="1"/>
    <col min="14094" max="14098" width="13.59765625" style="7" customWidth="1"/>
    <col min="14099" max="14099" width="5.19921875" style="7" bestFit="1" customWidth="1"/>
    <col min="14100" max="14104" width="13.59765625" style="7" customWidth="1"/>
    <col min="14105" max="14105" width="11" style="7" bestFit="1" customWidth="1"/>
    <col min="14106" max="14336" width="9" style="7"/>
    <col min="14337" max="14337" width="9" style="7" bestFit="1"/>
    <col min="14338" max="14338" width="5.19921875" style="7" bestFit="1" customWidth="1"/>
    <col min="14339" max="14339" width="11" style="7" bestFit="1" customWidth="1"/>
    <col min="14340" max="14340" width="9" style="7"/>
    <col min="14341" max="14341" width="7.09765625" style="7" bestFit="1" customWidth="1"/>
    <col min="14342" max="14343" width="9.19921875" style="7" bestFit="1" customWidth="1"/>
    <col min="14344" max="14344" width="8" style="7" customWidth="1"/>
    <col min="14345" max="14345" width="13.59765625" style="7" customWidth="1"/>
    <col min="14346" max="14346" width="9" style="7"/>
    <col min="14347" max="14347" width="21.3984375" style="7" bestFit="1" customWidth="1"/>
    <col min="14348" max="14348" width="44.5" style="7" bestFit="1" customWidth="1"/>
    <col min="14349" max="14349" width="7.09765625" style="7" bestFit="1" customWidth="1"/>
    <col min="14350" max="14354" width="13.59765625" style="7" customWidth="1"/>
    <col min="14355" max="14355" width="5.19921875" style="7" bestFit="1" customWidth="1"/>
    <col min="14356" max="14360" width="13.59765625" style="7" customWidth="1"/>
    <col min="14361" max="14361" width="11" style="7" bestFit="1" customWidth="1"/>
    <col min="14362" max="14592" width="9" style="7"/>
    <col min="14593" max="14593" width="9" style="7" bestFit="1"/>
    <col min="14594" max="14594" width="5.19921875" style="7" bestFit="1" customWidth="1"/>
    <col min="14595" max="14595" width="11" style="7" bestFit="1" customWidth="1"/>
    <col min="14596" max="14596" width="9" style="7"/>
    <col min="14597" max="14597" width="7.09765625" style="7" bestFit="1" customWidth="1"/>
    <col min="14598" max="14599" width="9.19921875" style="7" bestFit="1" customWidth="1"/>
    <col min="14600" max="14600" width="8" style="7" customWidth="1"/>
    <col min="14601" max="14601" width="13.59765625" style="7" customWidth="1"/>
    <col min="14602" max="14602" width="9" style="7"/>
    <col min="14603" max="14603" width="21.3984375" style="7" bestFit="1" customWidth="1"/>
    <col min="14604" max="14604" width="44.5" style="7" bestFit="1" customWidth="1"/>
    <col min="14605" max="14605" width="7.09765625" style="7" bestFit="1" customWidth="1"/>
    <col min="14606" max="14610" width="13.59765625" style="7" customWidth="1"/>
    <col min="14611" max="14611" width="5.19921875" style="7" bestFit="1" customWidth="1"/>
    <col min="14612" max="14616" width="13.59765625" style="7" customWidth="1"/>
    <col min="14617" max="14617" width="11" style="7" bestFit="1" customWidth="1"/>
    <col min="14618" max="14848" width="9" style="7"/>
    <col min="14849" max="14849" width="9" style="7" bestFit="1"/>
    <col min="14850" max="14850" width="5.19921875" style="7" bestFit="1" customWidth="1"/>
    <col min="14851" max="14851" width="11" style="7" bestFit="1" customWidth="1"/>
    <col min="14852" max="14852" width="9" style="7"/>
    <col min="14853" max="14853" width="7.09765625" style="7" bestFit="1" customWidth="1"/>
    <col min="14854" max="14855" width="9.19921875" style="7" bestFit="1" customWidth="1"/>
    <col min="14856" max="14856" width="8" style="7" customWidth="1"/>
    <col min="14857" max="14857" width="13.59765625" style="7" customWidth="1"/>
    <col min="14858" max="14858" width="9" style="7"/>
    <col min="14859" max="14859" width="21.3984375" style="7" bestFit="1" customWidth="1"/>
    <col min="14860" max="14860" width="44.5" style="7" bestFit="1" customWidth="1"/>
    <col min="14861" max="14861" width="7.09765625" style="7" bestFit="1" customWidth="1"/>
    <col min="14862" max="14866" width="13.59765625" style="7" customWidth="1"/>
    <col min="14867" max="14867" width="5.19921875" style="7" bestFit="1" customWidth="1"/>
    <col min="14868" max="14872" width="13.59765625" style="7" customWidth="1"/>
    <col min="14873" max="14873" width="11" style="7" bestFit="1" customWidth="1"/>
    <col min="14874" max="15104" width="9" style="7"/>
    <col min="15105" max="15105" width="9" style="7" bestFit="1"/>
    <col min="15106" max="15106" width="5.19921875" style="7" bestFit="1" customWidth="1"/>
    <col min="15107" max="15107" width="11" style="7" bestFit="1" customWidth="1"/>
    <col min="15108" max="15108" width="9" style="7"/>
    <col min="15109" max="15109" width="7.09765625" style="7" bestFit="1" customWidth="1"/>
    <col min="15110" max="15111" width="9.19921875" style="7" bestFit="1" customWidth="1"/>
    <col min="15112" max="15112" width="8" style="7" customWidth="1"/>
    <col min="15113" max="15113" width="13.59765625" style="7" customWidth="1"/>
    <col min="15114" max="15114" width="9" style="7"/>
    <col min="15115" max="15115" width="21.3984375" style="7" bestFit="1" customWidth="1"/>
    <col min="15116" max="15116" width="44.5" style="7" bestFit="1" customWidth="1"/>
    <col min="15117" max="15117" width="7.09765625" style="7" bestFit="1" customWidth="1"/>
    <col min="15118" max="15122" width="13.59765625" style="7" customWidth="1"/>
    <col min="15123" max="15123" width="5.19921875" style="7" bestFit="1" customWidth="1"/>
    <col min="15124" max="15128" width="13.59765625" style="7" customWidth="1"/>
    <col min="15129" max="15129" width="11" style="7" bestFit="1" customWidth="1"/>
    <col min="15130" max="15360" width="9" style="7"/>
    <col min="15361" max="15361" width="9" style="7" bestFit="1"/>
    <col min="15362" max="15362" width="5.19921875" style="7" bestFit="1" customWidth="1"/>
    <col min="15363" max="15363" width="11" style="7" bestFit="1" customWidth="1"/>
    <col min="15364" max="15364" width="9" style="7"/>
    <col min="15365" max="15365" width="7.09765625" style="7" bestFit="1" customWidth="1"/>
    <col min="15366" max="15367" width="9.19921875" style="7" bestFit="1" customWidth="1"/>
    <col min="15368" max="15368" width="8" style="7" customWidth="1"/>
    <col min="15369" max="15369" width="13.59765625" style="7" customWidth="1"/>
    <col min="15370" max="15370" width="9" style="7"/>
    <col min="15371" max="15371" width="21.3984375" style="7" bestFit="1" customWidth="1"/>
    <col min="15372" max="15372" width="44.5" style="7" bestFit="1" customWidth="1"/>
    <col min="15373" max="15373" width="7.09765625" style="7" bestFit="1" customWidth="1"/>
    <col min="15374" max="15378" width="13.59765625" style="7" customWidth="1"/>
    <col min="15379" max="15379" width="5.19921875" style="7" bestFit="1" customWidth="1"/>
    <col min="15380" max="15384" width="13.59765625" style="7" customWidth="1"/>
    <col min="15385" max="15385" width="11" style="7" bestFit="1" customWidth="1"/>
    <col min="15386" max="15616" width="9" style="7"/>
    <col min="15617" max="15617" width="9" style="7" bestFit="1"/>
    <col min="15618" max="15618" width="5.19921875" style="7" bestFit="1" customWidth="1"/>
    <col min="15619" max="15619" width="11" style="7" bestFit="1" customWidth="1"/>
    <col min="15620" max="15620" width="9" style="7"/>
    <col min="15621" max="15621" width="7.09765625" style="7" bestFit="1" customWidth="1"/>
    <col min="15622" max="15623" width="9.19921875" style="7" bestFit="1" customWidth="1"/>
    <col min="15624" max="15624" width="8" style="7" customWidth="1"/>
    <col min="15625" max="15625" width="13.59765625" style="7" customWidth="1"/>
    <col min="15626" max="15626" width="9" style="7"/>
    <col min="15627" max="15627" width="21.3984375" style="7" bestFit="1" customWidth="1"/>
    <col min="15628" max="15628" width="44.5" style="7" bestFit="1" customWidth="1"/>
    <col min="15629" max="15629" width="7.09765625" style="7" bestFit="1" customWidth="1"/>
    <col min="15630" max="15634" width="13.59765625" style="7" customWidth="1"/>
    <col min="15635" max="15635" width="5.19921875" style="7" bestFit="1" customWidth="1"/>
    <col min="15636" max="15640" width="13.59765625" style="7" customWidth="1"/>
    <col min="15641" max="15641" width="11" style="7" bestFit="1" customWidth="1"/>
    <col min="15642" max="15872" width="9" style="7"/>
    <col min="15873" max="15873" width="9" style="7" bestFit="1"/>
    <col min="15874" max="15874" width="5.19921875" style="7" bestFit="1" customWidth="1"/>
    <col min="15875" max="15875" width="11" style="7" bestFit="1" customWidth="1"/>
    <col min="15876" max="15876" width="9" style="7"/>
    <col min="15877" max="15877" width="7.09765625" style="7" bestFit="1" customWidth="1"/>
    <col min="15878" max="15879" width="9.19921875" style="7" bestFit="1" customWidth="1"/>
    <col min="15880" max="15880" width="8" style="7" customWidth="1"/>
    <col min="15881" max="15881" width="13.59765625" style="7" customWidth="1"/>
    <col min="15882" max="15882" width="9" style="7"/>
    <col min="15883" max="15883" width="21.3984375" style="7" bestFit="1" customWidth="1"/>
    <col min="15884" max="15884" width="44.5" style="7" bestFit="1" customWidth="1"/>
    <col min="15885" max="15885" width="7.09765625" style="7" bestFit="1" customWidth="1"/>
    <col min="15886" max="15890" width="13.59765625" style="7" customWidth="1"/>
    <col min="15891" max="15891" width="5.19921875" style="7" bestFit="1" customWidth="1"/>
    <col min="15892" max="15896" width="13.59765625" style="7" customWidth="1"/>
    <col min="15897" max="15897" width="11" style="7" bestFit="1" customWidth="1"/>
    <col min="15898" max="16128" width="9" style="7"/>
    <col min="16129" max="16129" width="9" style="7" bestFit="1"/>
    <col min="16130" max="16130" width="5.19921875" style="7" bestFit="1" customWidth="1"/>
    <col min="16131" max="16131" width="11" style="7" bestFit="1" customWidth="1"/>
    <col min="16132" max="16132" width="9" style="7"/>
    <col min="16133" max="16133" width="7.09765625" style="7" bestFit="1" customWidth="1"/>
    <col min="16134" max="16135" width="9.19921875" style="7" bestFit="1" customWidth="1"/>
    <col min="16136" max="16136" width="8" style="7" customWidth="1"/>
    <col min="16137" max="16137" width="13.59765625" style="7" customWidth="1"/>
    <col min="16138" max="16138" width="9" style="7"/>
    <col min="16139" max="16139" width="21.3984375" style="7" bestFit="1" customWidth="1"/>
    <col min="16140" max="16140" width="44.5" style="7" bestFit="1" customWidth="1"/>
    <col min="16141" max="16141" width="7.09765625" style="7" bestFit="1" customWidth="1"/>
    <col min="16142" max="16146" width="13.59765625" style="7" customWidth="1"/>
    <col min="16147" max="16147" width="5.19921875" style="7" bestFit="1" customWidth="1"/>
    <col min="16148" max="16152" width="13.59765625" style="7" customWidth="1"/>
    <col min="16153" max="16153" width="11" style="7" bestFit="1" customWidth="1"/>
    <col min="16154" max="16384" width="9" style="7"/>
  </cols>
  <sheetData>
    <row r="1" spans="1: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6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5">
      <c r="A2" s="8">
        <v>20260520</v>
      </c>
      <c r="B2" s="8" t="s">
        <v>151</v>
      </c>
      <c r="C2" s="9"/>
      <c r="D2" s="9"/>
      <c r="E2" s="9"/>
      <c r="F2" s="8" t="s">
        <v>24</v>
      </c>
      <c r="G2" s="9"/>
      <c r="H2" s="10" t="s">
        <v>25</v>
      </c>
      <c r="I2" s="11">
        <v>1503.8</v>
      </c>
      <c r="J2" s="12"/>
      <c r="K2" s="13" t="s">
        <v>152</v>
      </c>
      <c r="L2" s="13" t="s">
        <v>153</v>
      </c>
      <c r="M2" s="9"/>
      <c r="N2" s="14">
        <v>10</v>
      </c>
      <c r="O2" s="15">
        <f t="shared" ref="O2:O29" si="0">P2*I2</f>
        <v>18496.740000000002</v>
      </c>
      <c r="P2" s="16">
        <v>12.3</v>
      </c>
      <c r="Q2" s="17">
        <f t="shared" ref="Q2:Q29" si="1">ROUND(O2*N2/1.1,0)</f>
        <v>168152</v>
      </c>
      <c r="R2" s="17">
        <f t="shared" ref="R2:R29" si="2">ROUND(Q2*0.1,0)</f>
        <v>16815</v>
      </c>
      <c r="S2" s="9"/>
      <c r="T2" s="18">
        <f>$Y$2/12998*N2</f>
        <v>20210.984766887213</v>
      </c>
      <c r="U2" s="19">
        <f>55000+2758088+58850</f>
        <v>2871938</v>
      </c>
      <c r="V2" s="20"/>
      <c r="W2" s="20">
        <v>14520110</v>
      </c>
      <c r="X2" s="19">
        <v>8878190</v>
      </c>
      <c r="Y2" s="21">
        <f>SUM(U2:X2)</f>
        <v>26270238</v>
      </c>
    </row>
    <row r="3" spans="1:25">
      <c r="A3" s="8">
        <v>20260520</v>
      </c>
      <c r="B3" s="8" t="s">
        <v>151</v>
      </c>
      <c r="C3" s="9"/>
      <c r="D3" s="9"/>
      <c r="E3" s="9"/>
      <c r="F3" s="8" t="s">
        <v>24</v>
      </c>
      <c r="G3" s="9"/>
      <c r="H3" s="10" t="s">
        <v>25</v>
      </c>
      <c r="I3" s="11">
        <v>1503.8</v>
      </c>
      <c r="J3" s="12"/>
      <c r="K3" s="13" t="s">
        <v>154</v>
      </c>
      <c r="L3" s="13" t="s">
        <v>153</v>
      </c>
      <c r="M3" s="9"/>
      <c r="N3" s="14">
        <v>10</v>
      </c>
      <c r="O3" s="15">
        <f t="shared" si="0"/>
        <v>18496.740000000002</v>
      </c>
      <c r="P3" s="16">
        <v>12.3</v>
      </c>
      <c r="Q3" s="17">
        <f t="shared" si="1"/>
        <v>168152</v>
      </c>
      <c r="R3" s="17">
        <f t="shared" si="2"/>
        <v>16815</v>
      </c>
      <c r="S3" s="9"/>
      <c r="T3" s="18">
        <f t="shared" ref="T3:T66" si="3">$Y$2/12998*N3</f>
        <v>20210.984766887213</v>
      </c>
      <c r="U3" s="19"/>
      <c r="V3" s="20"/>
      <c r="W3" s="20"/>
      <c r="X3" s="19"/>
    </row>
    <row r="4" spans="1:25">
      <c r="A4" s="8">
        <v>20260520</v>
      </c>
      <c r="B4" s="8" t="s">
        <v>151</v>
      </c>
      <c r="C4" s="9"/>
      <c r="D4" s="9"/>
      <c r="E4" s="9"/>
      <c r="F4" s="8" t="s">
        <v>24</v>
      </c>
      <c r="G4" s="9"/>
      <c r="H4" s="10" t="s">
        <v>25</v>
      </c>
      <c r="I4" s="11">
        <v>1503.8</v>
      </c>
      <c r="J4" s="12"/>
      <c r="K4" s="13" t="s">
        <v>155</v>
      </c>
      <c r="L4" s="13" t="s">
        <v>153</v>
      </c>
      <c r="M4" s="9"/>
      <c r="N4" s="14">
        <v>10</v>
      </c>
      <c r="O4" s="15">
        <f t="shared" si="0"/>
        <v>18496.740000000002</v>
      </c>
      <c r="P4" s="16">
        <v>12.3</v>
      </c>
      <c r="Q4" s="17">
        <f t="shared" si="1"/>
        <v>168152</v>
      </c>
      <c r="R4" s="17">
        <f t="shared" si="2"/>
        <v>16815</v>
      </c>
      <c r="S4" s="9"/>
      <c r="T4" s="18">
        <f t="shared" si="3"/>
        <v>20210.984766887213</v>
      </c>
      <c r="U4" s="19"/>
      <c r="V4" s="20"/>
      <c r="W4" s="20"/>
      <c r="X4" s="19"/>
    </row>
    <row r="5" spans="1:25">
      <c r="A5" s="8">
        <v>20260520</v>
      </c>
      <c r="B5" s="8" t="s">
        <v>151</v>
      </c>
      <c r="C5" s="9"/>
      <c r="D5" s="9"/>
      <c r="E5" s="9"/>
      <c r="F5" s="8" t="s">
        <v>24</v>
      </c>
      <c r="G5" s="9"/>
      <c r="H5" s="10" t="s">
        <v>25</v>
      </c>
      <c r="I5" s="11">
        <v>1503.8</v>
      </c>
      <c r="J5" s="12"/>
      <c r="K5" s="13" t="s">
        <v>156</v>
      </c>
      <c r="L5" s="13" t="s">
        <v>153</v>
      </c>
      <c r="M5" s="9"/>
      <c r="N5" s="14">
        <v>10</v>
      </c>
      <c r="O5" s="15">
        <f t="shared" si="0"/>
        <v>18496.740000000002</v>
      </c>
      <c r="P5" s="16">
        <v>12.3</v>
      </c>
      <c r="Q5" s="17">
        <f t="shared" si="1"/>
        <v>168152</v>
      </c>
      <c r="R5" s="17">
        <f t="shared" si="2"/>
        <v>16815</v>
      </c>
      <c r="S5" s="9"/>
      <c r="T5" s="18">
        <f t="shared" si="3"/>
        <v>20210.984766887213</v>
      </c>
      <c r="U5" s="19"/>
      <c r="V5" s="20"/>
      <c r="W5" s="20"/>
      <c r="X5" s="19"/>
    </row>
    <row r="6" spans="1:25">
      <c r="A6" s="8">
        <v>20260520</v>
      </c>
      <c r="B6" s="8" t="s">
        <v>151</v>
      </c>
      <c r="C6" s="9"/>
      <c r="D6" s="9"/>
      <c r="E6" s="9"/>
      <c r="F6" s="8" t="s">
        <v>24</v>
      </c>
      <c r="G6" s="9"/>
      <c r="H6" s="10" t="s">
        <v>25</v>
      </c>
      <c r="I6" s="11">
        <v>1503.8</v>
      </c>
      <c r="J6" s="12"/>
      <c r="K6" s="13" t="s">
        <v>157</v>
      </c>
      <c r="L6" s="13" t="s">
        <v>153</v>
      </c>
      <c r="M6" s="9"/>
      <c r="N6" s="14">
        <v>10</v>
      </c>
      <c r="O6" s="15">
        <f t="shared" si="0"/>
        <v>18496.740000000002</v>
      </c>
      <c r="P6" s="16">
        <v>12.3</v>
      </c>
      <c r="Q6" s="17">
        <f t="shared" si="1"/>
        <v>168152</v>
      </c>
      <c r="R6" s="17">
        <f t="shared" si="2"/>
        <v>16815</v>
      </c>
      <c r="S6" s="9"/>
      <c r="T6" s="18">
        <f t="shared" si="3"/>
        <v>20210.984766887213</v>
      </c>
      <c r="U6" s="19"/>
      <c r="V6" s="20"/>
      <c r="W6" s="20"/>
      <c r="X6" s="19"/>
    </row>
    <row r="7" spans="1:25">
      <c r="A7" s="8">
        <v>20260520</v>
      </c>
      <c r="B7" s="8" t="s">
        <v>151</v>
      </c>
      <c r="C7" s="9"/>
      <c r="D7" s="9"/>
      <c r="E7" s="9"/>
      <c r="F7" s="8" t="s">
        <v>24</v>
      </c>
      <c r="G7" s="9"/>
      <c r="H7" s="10" t="s">
        <v>25</v>
      </c>
      <c r="I7" s="11">
        <v>1503.8</v>
      </c>
      <c r="J7" s="12"/>
      <c r="K7" s="13" t="s">
        <v>158</v>
      </c>
      <c r="L7" s="13" t="s">
        <v>153</v>
      </c>
      <c r="M7" s="9"/>
      <c r="N7" s="14">
        <v>10</v>
      </c>
      <c r="O7" s="15">
        <f t="shared" si="0"/>
        <v>18496.740000000002</v>
      </c>
      <c r="P7" s="16">
        <v>12.3</v>
      </c>
      <c r="Q7" s="17">
        <f t="shared" si="1"/>
        <v>168152</v>
      </c>
      <c r="R7" s="17">
        <f t="shared" si="2"/>
        <v>16815</v>
      </c>
      <c r="S7" s="9"/>
      <c r="T7" s="18">
        <f t="shared" si="3"/>
        <v>20210.984766887213</v>
      </c>
      <c r="U7" s="19"/>
      <c r="V7" s="20"/>
      <c r="W7" s="20"/>
      <c r="X7" s="19"/>
    </row>
    <row r="8" spans="1:25">
      <c r="A8" s="8">
        <v>20260520</v>
      </c>
      <c r="B8" s="8" t="s">
        <v>151</v>
      </c>
      <c r="C8" s="9"/>
      <c r="D8" s="9"/>
      <c r="E8" s="9"/>
      <c r="F8" s="8" t="s">
        <v>24</v>
      </c>
      <c r="G8" s="9"/>
      <c r="H8" s="10" t="s">
        <v>25</v>
      </c>
      <c r="I8" s="11">
        <v>1503.8</v>
      </c>
      <c r="J8" s="12"/>
      <c r="K8" s="13" t="s">
        <v>159</v>
      </c>
      <c r="L8" s="13" t="s">
        <v>153</v>
      </c>
      <c r="M8" s="9"/>
      <c r="N8" s="14">
        <v>10</v>
      </c>
      <c r="O8" s="15">
        <f t="shared" si="0"/>
        <v>18496.740000000002</v>
      </c>
      <c r="P8" s="16">
        <v>12.3</v>
      </c>
      <c r="Q8" s="17">
        <f t="shared" si="1"/>
        <v>168152</v>
      </c>
      <c r="R8" s="17">
        <f t="shared" si="2"/>
        <v>16815</v>
      </c>
      <c r="S8" s="9"/>
      <c r="T8" s="18">
        <f t="shared" si="3"/>
        <v>20210.984766887213</v>
      </c>
      <c r="U8" s="19"/>
      <c r="V8" s="20"/>
      <c r="W8" s="20"/>
      <c r="X8" s="19"/>
    </row>
    <row r="9" spans="1:25">
      <c r="A9" s="8">
        <v>20260520</v>
      </c>
      <c r="B9" s="8" t="s">
        <v>151</v>
      </c>
      <c r="C9" s="9"/>
      <c r="D9" s="9"/>
      <c r="E9" s="9"/>
      <c r="F9" s="8" t="s">
        <v>24</v>
      </c>
      <c r="G9" s="9"/>
      <c r="H9" s="10" t="s">
        <v>25</v>
      </c>
      <c r="I9" s="11">
        <v>1503.8</v>
      </c>
      <c r="J9" s="12"/>
      <c r="K9" s="13" t="s">
        <v>160</v>
      </c>
      <c r="L9" s="13" t="s">
        <v>153</v>
      </c>
      <c r="M9" s="9"/>
      <c r="N9" s="14">
        <v>10</v>
      </c>
      <c r="O9" s="15">
        <f t="shared" si="0"/>
        <v>18496.740000000002</v>
      </c>
      <c r="P9" s="16">
        <v>12.3</v>
      </c>
      <c r="Q9" s="17">
        <f t="shared" si="1"/>
        <v>168152</v>
      </c>
      <c r="R9" s="17">
        <f t="shared" si="2"/>
        <v>16815</v>
      </c>
      <c r="S9" s="9"/>
      <c r="T9" s="18">
        <f t="shared" si="3"/>
        <v>20210.984766887213</v>
      </c>
      <c r="U9" s="19"/>
      <c r="V9" s="20"/>
      <c r="W9" s="20"/>
      <c r="X9" s="19"/>
    </row>
    <row r="10" spans="1:25">
      <c r="A10" s="8">
        <v>20260520</v>
      </c>
      <c r="B10" s="8" t="s">
        <v>151</v>
      </c>
      <c r="C10" s="9"/>
      <c r="D10" s="9"/>
      <c r="E10" s="9"/>
      <c r="F10" s="8" t="s">
        <v>24</v>
      </c>
      <c r="G10" s="9"/>
      <c r="H10" s="10" t="s">
        <v>25</v>
      </c>
      <c r="I10" s="11">
        <v>1503.8</v>
      </c>
      <c r="J10" s="12"/>
      <c r="K10" s="13" t="s">
        <v>161</v>
      </c>
      <c r="L10" s="13" t="s">
        <v>153</v>
      </c>
      <c r="M10" s="9"/>
      <c r="N10" s="14">
        <v>20</v>
      </c>
      <c r="O10" s="15">
        <f t="shared" si="0"/>
        <v>18496.740000000002</v>
      </c>
      <c r="P10" s="16">
        <v>12.3</v>
      </c>
      <c r="Q10" s="17">
        <f t="shared" si="1"/>
        <v>336304</v>
      </c>
      <c r="R10" s="17">
        <f t="shared" si="2"/>
        <v>33630</v>
      </c>
      <c r="S10" s="9"/>
      <c r="T10" s="18">
        <f t="shared" si="3"/>
        <v>40421.969533774427</v>
      </c>
      <c r="U10" s="19"/>
      <c r="V10" s="20"/>
      <c r="W10" s="20"/>
      <c r="X10" s="19"/>
    </row>
    <row r="11" spans="1:25">
      <c r="A11" s="8">
        <v>20260520</v>
      </c>
      <c r="B11" s="8" t="s">
        <v>151</v>
      </c>
      <c r="C11" s="9"/>
      <c r="D11" s="9"/>
      <c r="E11" s="9"/>
      <c r="F11" s="8" t="s">
        <v>24</v>
      </c>
      <c r="G11" s="9"/>
      <c r="H11" s="10" t="s">
        <v>25</v>
      </c>
      <c r="I11" s="11">
        <v>1503.8</v>
      </c>
      <c r="J11" s="12"/>
      <c r="K11" s="13" t="s">
        <v>162</v>
      </c>
      <c r="L11" s="13" t="s">
        <v>153</v>
      </c>
      <c r="M11" s="9"/>
      <c r="N11" s="14">
        <v>10</v>
      </c>
      <c r="O11" s="15">
        <f t="shared" si="0"/>
        <v>18496.740000000002</v>
      </c>
      <c r="P11" s="16">
        <v>12.3</v>
      </c>
      <c r="Q11" s="17">
        <f t="shared" si="1"/>
        <v>168152</v>
      </c>
      <c r="R11" s="17">
        <f t="shared" si="2"/>
        <v>16815</v>
      </c>
      <c r="S11" s="9"/>
      <c r="T11" s="18">
        <f t="shared" si="3"/>
        <v>20210.984766887213</v>
      </c>
      <c r="U11" s="19"/>
      <c r="V11" s="20"/>
      <c r="W11" s="20"/>
      <c r="X11" s="19"/>
    </row>
    <row r="12" spans="1:25">
      <c r="A12" s="8">
        <v>20260520</v>
      </c>
      <c r="B12" s="8" t="s">
        <v>151</v>
      </c>
      <c r="C12" s="9"/>
      <c r="D12" s="9"/>
      <c r="E12" s="9"/>
      <c r="F12" s="8" t="s">
        <v>24</v>
      </c>
      <c r="G12" s="9"/>
      <c r="H12" s="10" t="s">
        <v>25</v>
      </c>
      <c r="I12" s="11">
        <v>1503.8</v>
      </c>
      <c r="J12" s="12"/>
      <c r="K12" s="13" t="s">
        <v>125</v>
      </c>
      <c r="L12" s="13" t="s">
        <v>124</v>
      </c>
      <c r="M12" s="9"/>
      <c r="N12" s="14">
        <v>10</v>
      </c>
      <c r="O12" s="15">
        <f t="shared" si="0"/>
        <v>19925.349999999999</v>
      </c>
      <c r="P12" s="16">
        <v>13.25</v>
      </c>
      <c r="Q12" s="17">
        <f t="shared" si="1"/>
        <v>181140</v>
      </c>
      <c r="R12" s="17">
        <f t="shared" si="2"/>
        <v>18114</v>
      </c>
      <c r="S12" s="9"/>
      <c r="T12" s="18">
        <f t="shared" si="3"/>
        <v>20210.984766887213</v>
      </c>
      <c r="U12" s="19"/>
      <c r="V12" s="20"/>
      <c r="W12" s="20"/>
      <c r="X12" s="19"/>
    </row>
    <row r="13" spans="1:25">
      <c r="A13" s="8">
        <v>20260520</v>
      </c>
      <c r="B13" s="8" t="s">
        <v>151</v>
      </c>
      <c r="C13" s="9"/>
      <c r="D13" s="9"/>
      <c r="E13" s="9"/>
      <c r="F13" s="8" t="s">
        <v>24</v>
      </c>
      <c r="G13" s="9"/>
      <c r="H13" s="10" t="s">
        <v>25</v>
      </c>
      <c r="I13" s="11">
        <v>1503.8</v>
      </c>
      <c r="J13" s="12"/>
      <c r="K13" s="13" t="s">
        <v>163</v>
      </c>
      <c r="L13" s="13" t="s">
        <v>124</v>
      </c>
      <c r="M13" s="9"/>
      <c r="N13" s="14">
        <v>10</v>
      </c>
      <c r="O13" s="15">
        <f t="shared" si="0"/>
        <v>19925.349999999999</v>
      </c>
      <c r="P13" s="16">
        <v>13.25</v>
      </c>
      <c r="Q13" s="17">
        <f t="shared" si="1"/>
        <v>181140</v>
      </c>
      <c r="R13" s="17">
        <f t="shared" si="2"/>
        <v>18114</v>
      </c>
      <c r="S13" s="9"/>
      <c r="T13" s="18">
        <f t="shared" si="3"/>
        <v>20210.984766887213</v>
      </c>
      <c r="U13" s="19"/>
      <c r="V13" s="20"/>
      <c r="W13" s="20"/>
      <c r="X13" s="19"/>
    </row>
    <row r="14" spans="1:25">
      <c r="A14" s="8">
        <v>20260520</v>
      </c>
      <c r="B14" s="8" t="s">
        <v>151</v>
      </c>
      <c r="C14" s="9"/>
      <c r="D14" s="9"/>
      <c r="E14" s="9"/>
      <c r="F14" s="8" t="s">
        <v>24</v>
      </c>
      <c r="G14" s="9"/>
      <c r="H14" s="10" t="s">
        <v>25</v>
      </c>
      <c r="I14" s="11">
        <v>1503.8</v>
      </c>
      <c r="J14" s="12"/>
      <c r="K14" s="13" t="s">
        <v>164</v>
      </c>
      <c r="L14" s="13" t="s">
        <v>124</v>
      </c>
      <c r="M14" s="9"/>
      <c r="N14" s="14">
        <v>20</v>
      </c>
      <c r="O14" s="15">
        <f t="shared" si="0"/>
        <v>19925.349999999999</v>
      </c>
      <c r="P14" s="16">
        <v>13.25</v>
      </c>
      <c r="Q14" s="17">
        <f t="shared" si="1"/>
        <v>362279</v>
      </c>
      <c r="R14" s="17">
        <f t="shared" si="2"/>
        <v>36228</v>
      </c>
      <c r="S14" s="9"/>
      <c r="T14" s="18">
        <f t="shared" si="3"/>
        <v>40421.969533774427</v>
      </c>
      <c r="U14" s="19"/>
      <c r="V14" s="20"/>
      <c r="W14" s="20"/>
      <c r="X14" s="19"/>
    </row>
    <row r="15" spans="1:25">
      <c r="A15" s="8">
        <v>20260520</v>
      </c>
      <c r="B15" s="8" t="s">
        <v>151</v>
      </c>
      <c r="C15" s="9"/>
      <c r="D15" s="9"/>
      <c r="E15" s="9"/>
      <c r="F15" s="8" t="s">
        <v>24</v>
      </c>
      <c r="G15" s="9"/>
      <c r="H15" s="10" t="s">
        <v>25</v>
      </c>
      <c r="I15" s="11">
        <v>1503.8</v>
      </c>
      <c r="J15" s="12"/>
      <c r="K15" s="13" t="s">
        <v>165</v>
      </c>
      <c r="L15" s="13" t="s">
        <v>124</v>
      </c>
      <c r="M15" s="9"/>
      <c r="N15" s="14">
        <v>10</v>
      </c>
      <c r="O15" s="15">
        <f t="shared" si="0"/>
        <v>19925.349999999999</v>
      </c>
      <c r="P15" s="16">
        <v>13.25</v>
      </c>
      <c r="Q15" s="17">
        <f t="shared" si="1"/>
        <v>181140</v>
      </c>
      <c r="R15" s="17">
        <f t="shared" si="2"/>
        <v>18114</v>
      </c>
      <c r="S15" s="9"/>
      <c r="T15" s="18">
        <f t="shared" si="3"/>
        <v>20210.984766887213</v>
      </c>
      <c r="U15" s="19"/>
      <c r="V15" s="20"/>
      <c r="W15" s="20"/>
      <c r="X15" s="19"/>
    </row>
    <row r="16" spans="1:25">
      <c r="A16" s="8">
        <v>20260520</v>
      </c>
      <c r="B16" s="8" t="s">
        <v>151</v>
      </c>
      <c r="C16" s="9"/>
      <c r="D16" s="9"/>
      <c r="E16" s="9"/>
      <c r="F16" s="8" t="s">
        <v>24</v>
      </c>
      <c r="G16" s="9"/>
      <c r="H16" s="10" t="s">
        <v>25</v>
      </c>
      <c r="I16" s="11">
        <v>1503.8</v>
      </c>
      <c r="J16" s="12"/>
      <c r="K16" s="13" t="s">
        <v>166</v>
      </c>
      <c r="L16" s="13" t="s">
        <v>124</v>
      </c>
      <c r="M16" s="9"/>
      <c r="N16" s="14">
        <v>10</v>
      </c>
      <c r="O16" s="15">
        <f t="shared" si="0"/>
        <v>19925.349999999999</v>
      </c>
      <c r="P16" s="16">
        <v>13.25</v>
      </c>
      <c r="Q16" s="17">
        <f t="shared" si="1"/>
        <v>181140</v>
      </c>
      <c r="R16" s="17">
        <f t="shared" si="2"/>
        <v>18114</v>
      </c>
      <c r="S16" s="9"/>
      <c r="T16" s="18">
        <f t="shared" si="3"/>
        <v>20210.984766887213</v>
      </c>
      <c r="U16" s="19"/>
      <c r="V16" s="20"/>
      <c r="W16" s="20"/>
      <c r="X16" s="19"/>
    </row>
    <row r="17" spans="1:24">
      <c r="A17" s="8">
        <v>20260520</v>
      </c>
      <c r="B17" s="8" t="s">
        <v>151</v>
      </c>
      <c r="C17" s="9"/>
      <c r="D17" s="9"/>
      <c r="E17" s="9"/>
      <c r="F17" s="8" t="s">
        <v>24</v>
      </c>
      <c r="G17" s="9"/>
      <c r="H17" s="10" t="s">
        <v>25</v>
      </c>
      <c r="I17" s="11">
        <v>1503.8</v>
      </c>
      <c r="J17" s="12"/>
      <c r="K17" s="13" t="s">
        <v>167</v>
      </c>
      <c r="L17" s="13" t="s">
        <v>124</v>
      </c>
      <c r="M17" s="9"/>
      <c r="N17" s="14">
        <v>10</v>
      </c>
      <c r="O17" s="15">
        <f t="shared" si="0"/>
        <v>19925.349999999999</v>
      </c>
      <c r="P17" s="16">
        <v>13.25</v>
      </c>
      <c r="Q17" s="17">
        <f t="shared" si="1"/>
        <v>181140</v>
      </c>
      <c r="R17" s="17">
        <f t="shared" si="2"/>
        <v>18114</v>
      </c>
      <c r="S17" s="9"/>
      <c r="T17" s="18">
        <f t="shared" si="3"/>
        <v>20210.984766887213</v>
      </c>
      <c r="U17" s="19"/>
      <c r="V17" s="20"/>
      <c r="W17" s="20"/>
      <c r="X17" s="19"/>
    </row>
    <row r="18" spans="1:24">
      <c r="A18" s="8">
        <v>20260520</v>
      </c>
      <c r="B18" s="8" t="s">
        <v>151</v>
      </c>
      <c r="C18" s="9"/>
      <c r="D18" s="9"/>
      <c r="E18" s="9"/>
      <c r="F18" s="8" t="s">
        <v>24</v>
      </c>
      <c r="G18" s="9"/>
      <c r="H18" s="10" t="s">
        <v>25</v>
      </c>
      <c r="I18" s="11">
        <v>1503.8</v>
      </c>
      <c r="J18" s="12"/>
      <c r="K18" s="13" t="s">
        <v>133</v>
      </c>
      <c r="L18" s="13" t="s">
        <v>126</v>
      </c>
      <c r="M18" s="9"/>
      <c r="N18" s="14">
        <v>80</v>
      </c>
      <c r="O18" s="15">
        <f t="shared" si="0"/>
        <v>6616.72</v>
      </c>
      <c r="P18" s="16">
        <v>4.4000000000000004</v>
      </c>
      <c r="Q18" s="17">
        <f t="shared" si="1"/>
        <v>481216</v>
      </c>
      <c r="R18" s="17">
        <f t="shared" si="2"/>
        <v>48122</v>
      </c>
      <c r="S18" s="9"/>
      <c r="T18" s="18">
        <f t="shared" si="3"/>
        <v>161687.87813509771</v>
      </c>
      <c r="U18" s="19"/>
      <c r="V18" s="20"/>
      <c r="W18" s="20"/>
      <c r="X18" s="19"/>
    </row>
    <row r="19" spans="1:24">
      <c r="A19" s="8">
        <v>20260520</v>
      </c>
      <c r="B19" s="8" t="s">
        <v>151</v>
      </c>
      <c r="C19" s="9"/>
      <c r="D19" s="9"/>
      <c r="E19" s="9"/>
      <c r="F19" s="8" t="s">
        <v>24</v>
      </c>
      <c r="G19" s="9"/>
      <c r="H19" s="10" t="s">
        <v>25</v>
      </c>
      <c r="I19" s="11">
        <v>1503.8</v>
      </c>
      <c r="J19" s="12"/>
      <c r="K19" s="13" t="s">
        <v>131</v>
      </c>
      <c r="L19" s="13" t="s">
        <v>126</v>
      </c>
      <c r="M19" s="9"/>
      <c r="N19" s="14">
        <v>40</v>
      </c>
      <c r="O19" s="15">
        <f t="shared" si="0"/>
        <v>6616.72</v>
      </c>
      <c r="P19" s="16">
        <v>4.4000000000000004</v>
      </c>
      <c r="Q19" s="17">
        <f t="shared" si="1"/>
        <v>240608</v>
      </c>
      <c r="R19" s="17">
        <f t="shared" si="2"/>
        <v>24061</v>
      </c>
      <c r="S19" s="9"/>
      <c r="T19" s="18">
        <f t="shared" si="3"/>
        <v>80843.939067548854</v>
      </c>
      <c r="U19" s="19"/>
      <c r="V19" s="20"/>
      <c r="W19" s="20"/>
      <c r="X19" s="19"/>
    </row>
    <row r="20" spans="1:24">
      <c r="A20" s="8">
        <v>20260520</v>
      </c>
      <c r="B20" s="8" t="s">
        <v>151</v>
      </c>
      <c r="C20" s="9"/>
      <c r="D20" s="9"/>
      <c r="E20" s="9"/>
      <c r="F20" s="8" t="s">
        <v>24</v>
      </c>
      <c r="G20" s="9"/>
      <c r="H20" s="10" t="s">
        <v>25</v>
      </c>
      <c r="I20" s="11">
        <v>1503.8</v>
      </c>
      <c r="J20" s="12"/>
      <c r="K20" s="13" t="s">
        <v>128</v>
      </c>
      <c r="L20" s="13" t="s">
        <v>126</v>
      </c>
      <c r="M20" s="9"/>
      <c r="N20" s="14">
        <v>40</v>
      </c>
      <c r="O20" s="15">
        <f t="shared" si="0"/>
        <v>6616.72</v>
      </c>
      <c r="P20" s="16">
        <v>4.4000000000000004</v>
      </c>
      <c r="Q20" s="17">
        <f t="shared" si="1"/>
        <v>240608</v>
      </c>
      <c r="R20" s="17">
        <f t="shared" si="2"/>
        <v>24061</v>
      </c>
      <c r="S20" s="9"/>
      <c r="T20" s="18">
        <f t="shared" si="3"/>
        <v>80843.939067548854</v>
      </c>
      <c r="U20" s="19"/>
      <c r="V20" s="20"/>
      <c r="W20" s="20"/>
      <c r="X20" s="19"/>
    </row>
    <row r="21" spans="1:24">
      <c r="A21" s="8">
        <v>20260520</v>
      </c>
      <c r="B21" s="8" t="s">
        <v>151</v>
      </c>
      <c r="C21" s="9"/>
      <c r="D21" s="9"/>
      <c r="E21" s="9"/>
      <c r="F21" s="8" t="s">
        <v>24</v>
      </c>
      <c r="G21" s="9"/>
      <c r="H21" s="10" t="s">
        <v>25</v>
      </c>
      <c r="I21" s="11">
        <v>1503.8</v>
      </c>
      <c r="J21" s="12"/>
      <c r="K21" s="13" t="s">
        <v>168</v>
      </c>
      <c r="L21" s="13" t="s">
        <v>126</v>
      </c>
      <c r="M21" s="9"/>
      <c r="N21" s="14">
        <v>40</v>
      </c>
      <c r="O21" s="15">
        <f t="shared" si="0"/>
        <v>6616.72</v>
      </c>
      <c r="P21" s="16">
        <v>4.4000000000000004</v>
      </c>
      <c r="Q21" s="17">
        <f t="shared" si="1"/>
        <v>240608</v>
      </c>
      <c r="R21" s="17">
        <f t="shared" si="2"/>
        <v>24061</v>
      </c>
      <c r="S21" s="9"/>
      <c r="T21" s="18">
        <f t="shared" si="3"/>
        <v>80843.939067548854</v>
      </c>
      <c r="U21" s="19"/>
      <c r="V21" s="20"/>
      <c r="W21" s="20"/>
      <c r="X21" s="19"/>
    </row>
    <row r="22" spans="1:24">
      <c r="A22" s="8">
        <v>20260520</v>
      </c>
      <c r="B22" s="8" t="s">
        <v>151</v>
      </c>
      <c r="C22" s="9"/>
      <c r="D22" s="9"/>
      <c r="E22" s="9"/>
      <c r="F22" s="8" t="s">
        <v>24</v>
      </c>
      <c r="G22" s="9"/>
      <c r="H22" s="10" t="s">
        <v>25</v>
      </c>
      <c r="I22" s="11">
        <v>1503.8</v>
      </c>
      <c r="J22" s="12"/>
      <c r="K22" s="13" t="s">
        <v>130</v>
      </c>
      <c r="L22" s="13" t="s">
        <v>126</v>
      </c>
      <c r="M22" s="9"/>
      <c r="N22" s="14">
        <v>40</v>
      </c>
      <c r="O22" s="15">
        <f t="shared" si="0"/>
        <v>6616.72</v>
      </c>
      <c r="P22" s="16">
        <v>4.4000000000000004</v>
      </c>
      <c r="Q22" s="17">
        <f t="shared" si="1"/>
        <v>240608</v>
      </c>
      <c r="R22" s="17">
        <f t="shared" si="2"/>
        <v>24061</v>
      </c>
      <c r="S22" s="9"/>
      <c r="T22" s="18">
        <f t="shared" si="3"/>
        <v>80843.939067548854</v>
      </c>
      <c r="U22" s="19"/>
      <c r="V22" s="20"/>
      <c r="W22" s="20"/>
      <c r="X22" s="19"/>
    </row>
    <row r="23" spans="1:24">
      <c r="A23" s="8">
        <v>20260520</v>
      </c>
      <c r="B23" s="8" t="s">
        <v>151</v>
      </c>
      <c r="C23" s="9"/>
      <c r="D23" s="9"/>
      <c r="E23" s="9"/>
      <c r="F23" s="8" t="s">
        <v>24</v>
      </c>
      <c r="G23" s="9"/>
      <c r="H23" s="10" t="s">
        <v>25</v>
      </c>
      <c r="I23" s="11">
        <v>1503.8</v>
      </c>
      <c r="J23" s="12"/>
      <c r="K23" s="13" t="s">
        <v>169</v>
      </c>
      <c r="L23" s="13" t="s">
        <v>126</v>
      </c>
      <c r="M23" s="9"/>
      <c r="N23" s="14">
        <v>80</v>
      </c>
      <c r="O23" s="15">
        <f t="shared" si="0"/>
        <v>6616.72</v>
      </c>
      <c r="P23" s="16">
        <v>4.4000000000000004</v>
      </c>
      <c r="Q23" s="17">
        <f t="shared" si="1"/>
        <v>481216</v>
      </c>
      <c r="R23" s="17">
        <f t="shared" si="2"/>
        <v>48122</v>
      </c>
      <c r="S23" s="9"/>
      <c r="T23" s="18">
        <f t="shared" si="3"/>
        <v>161687.87813509771</v>
      </c>
      <c r="U23" s="19"/>
      <c r="V23" s="20"/>
      <c r="W23" s="20"/>
      <c r="X23" s="19"/>
    </row>
    <row r="24" spans="1:24">
      <c r="A24" s="8">
        <v>20260520</v>
      </c>
      <c r="B24" s="8" t="s">
        <v>151</v>
      </c>
      <c r="C24" s="9"/>
      <c r="D24" s="9"/>
      <c r="E24" s="9"/>
      <c r="F24" s="8" t="s">
        <v>24</v>
      </c>
      <c r="G24" s="9"/>
      <c r="H24" s="10" t="s">
        <v>25</v>
      </c>
      <c r="I24" s="11">
        <v>1503.8</v>
      </c>
      <c r="J24" s="12"/>
      <c r="K24" s="13" t="s">
        <v>132</v>
      </c>
      <c r="L24" s="13" t="s">
        <v>126</v>
      </c>
      <c r="M24" s="9"/>
      <c r="N24" s="14">
        <v>80</v>
      </c>
      <c r="O24" s="15">
        <f t="shared" si="0"/>
        <v>6616.72</v>
      </c>
      <c r="P24" s="16">
        <v>4.4000000000000004</v>
      </c>
      <c r="Q24" s="17">
        <f t="shared" si="1"/>
        <v>481216</v>
      </c>
      <c r="R24" s="17">
        <f t="shared" si="2"/>
        <v>48122</v>
      </c>
      <c r="S24" s="9"/>
      <c r="T24" s="18">
        <f t="shared" si="3"/>
        <v>161687.87813509771</v>
      </c>
      <c r="U24" s="19"/>
      <c r="V24" s="20"/>
      <c r="W24" s="20"/>
      <c r="X24" s="19"/>
    </row>
    <row r="25" spans="1:24">
      <c r="A25" s="8">
        <v>20260520</v>
      </c>
      <c r="B25" s="8" t="s">
        <v>151</v>
      </c>
      <c r="C25" s="9"/>
      <c r="D25" s="9"/>
      <c r="E25" s="9"/>
      <c r="F25" s="8" t="s">
        <v>24</v>
      </c>
      <c r="G25" s="9"/>
      <c r="H25" s="10" t="s">
        <v>25</v>
      </c>
      <c r="I25" s="11">
        <v>1503.8</v>
      </c>
      <c r="J25" s="12"/>
      <c r="K25" s="13" t="s">
        <v>129</v>
      </c>
      <c r="L25" s="13" t="s">
        <v>126</v>
      </c>
      <c r="M25" s="9"/>
      <c r="N25" s="14">
        <v>80</v>
      </c>
      <c r="O25" s="15">
        <f t="shared" si="0"/>
        <v>6616.72</v>
      </c>
      <c r="P25" s="16">
        <v>4.4000000000000004</v>
      </c>
      <c r="Q25" s="17">
        <f t="shared" si="1"/>
        <v>481216</v>
      </c>
      <c r="R25" s="17">
        <f t="shared" si="2"/>
        <v>48122</v>
      </c>
      <c r="S25" s="9"/>
      <c r="T25" s="18">
        <f t="shared" si="3"/>
        <v>161687.87813509771</v>
      </c>
      <c r="U25" s="19"/>
      <c r="V25" s="20"/>
      <c r="W25" s="20"/>
      <c r="X25" s="19"/>
    </row>
    <row r="26" spans="1:24">
      <c r="A26" s="8">
        <v>20260520</v>
      </c>
      <c r="B26" s="8" t="s">
        <v>151</v>
      </c>
      <c r="C26" s="9"/>
      <c r="D26" s="9"/>
      <c r="E26" s="9"/>
      <c r="F26" s="8" t="s">
        <v>24</v>
      </c>
      <c r="G26" s="9"/>
      <c r="H26" s="10" t="s">
        <v>25</v>
      </c>
      <c r="I26" s="11">
        <v>1503.8</v>
      </c>
      <c r="J26" s="12"/>
      <c r="K26" s="13" t="s">
        <v>127</v>
      </c>
      <c r="L26" s="13" t="s">
        <v>126</v>
      </c>
      <c r="M26" s="9"/>
      <c r="N26" s="14">
        <v>80</v>
      </c>
      <c r="O26" s="15">
        <f t="shared" si="0"/>
        <v>6616.72</v>
      </c>
      <c r="P26" s="16">
        <v>4.4000000000000004</v>
      </c>
      <c r="Q26" s="17">
        <f t="shared" si="1"/>
        <v>481216</v>
      </c>
      <c r="R26" s="17">
        <f t="shared" si="2"/>
        <v>48122</v>
      </c>
      <c r="S26" s="9"/>
      <c r="T26" s="18">
        <f t="shared" si="3"/>
        <v>161687.87813509771</v>
      </c>
      <c r="U26" s="19"/>
      <c r="V26" s="20"/>
      <c r="W26" s="20"/>
      <c r="X26" s="19"/>
    </row>
    <row r="27" spans="1:24">
      <c r="A27" s="8">
        <v>20260520</v>
      </c>
      <c r="B27" s="8" t="s">
        <v>151</v>
      </c>
      <c r="C27" s="9"/>
      <c r="D27" s="9"/>
      <c r="E27" s="9"/>
      <c r="F27" s="8" t="s">
        <v>24</v>
      </c>
      <c r="G27" s="9"/>
      <c r="H27" s="10" t="s">
        <v>25</v>
      </c>
      <c r="I27" s="11">
        <v>1503.8</v>
      </c>
      <c r="J27" s="12"/>
      <c r="K27" s="13" t="s">
        <v>170</v>
      </c>
      <c r="L27" s="13" t="s">
        <v>33</v>
      </c>
      <c r="M27" s="9"/>
      <c r="N27" s="14">
        <v>40</v>
      </c>
      <c r="O27" s="15">
        <f t="shared" si="0"/>
        <v>6917.48</v>
      </c>
      <c r="P27" s="16">
        <v>4.5999999999999996</v>
      </c>
      <c r="Q27" s="17">
        <f t="shared" si="1"/>
        <v>251545</v>
      </c>
      <c r="R27" s="17">
        <f t="shared" si="2"/>
        <v>25155</v>
      </c>
      <c r="S27" s="9"/>
      <c r="T27" s="18">
        <f t="shared" si="3"/>
        <v>80843.939067548854</v>
      </c>
      <c r="U27" s="19"/>
      <c r="V27" s="20"/>
      <c r="W27" s="20"/>
      <c r="X27" s="19"/>
    </row>
    <row r="28" spans="1:24">
      <c r="A28" s="8">
        <v>20260520</v>
      </c>
      <c r="B28" s="8" t="s">
        <v>151</v>
      </c>
      <c r="C28" s="9"/>
      <c r="D28" s="9"/>
      <c r="E28" s="9"/>
      <c r="F28" s="8" t="s">
        <v>24</v>
      </c>
      <c r="G28" s="9"/>
      <c r="H28" s="10" t="s">
        <v>25</v>
      </c>
      <c r="I28" s="11">
        <v>1503.8</v>
      </c>
      <c r="J28" s="12"/>
      <c r="K28" s="13" t="s">
        <v>171</v>
      </c>
      <c r="L28" s="13" t="s">
        <v>33</v>
      </c>
      <c r="M28" s="9"/>
      <c r="N28" s="14">
        <v>80</v>
      </c>
      <c r="O28" s="15">
        <f t="shared" si="0"/>
        <v>6917.48</v>
      </c>
      <c r="P28" s="16">
        <v>4.5999999999999996</v>
      </c>
      <c r="Q28" s="17">
        <f t="shared" si="1"/>
        <v>503089</v>
      </c>
      <c r="R28" s="17">
        <f t="shared" si="2"/>
        <v>50309</v>
      </c>
      <c r="S28" s="9"/>
      <c r="T28" s="18">
        <f t="shared" si="3"/>
        <v>161687.87813509771</v>
      </c>
      <c r="U28" s="19"/>
      <c r="V28" s="20"/>
      <c r="W28" s="20"/>
      <c r="X28" s="19"/>
    </row>
    <row r="29" spans="1:24">
      <c r="A29" s="8">
        <v>20260520</v>
      </c>
      <c r="B29" s="8" t="s">
        <v>151</v>
      </c>
      <c r="C29" s="9"/>
      <c r="D29" s="9"/>
      <c r="E29" s="9"/>
      <c r="F29" s="8" t="s">
        <v>24</v>
      </c>
      <c r="G29" s="9"/>
      <c r="H29" s="10" t="s">
        <v>25</v>
      </c>
      <c r="I29" s="11">
        <v>1503.8</v>
      </c>
      <c r="J29" s="12"/>
      <c r="K29" s="13" t="s">
        <v>172</v>
      </c>
      <c r="L29" s="13" t="s">
        <v>33</v>
      </c>
      <c r="M29" s="9"/>
      <c r="N29" s="14">
        <v>80</v>
      </c>
      <c r="O29" s="15">
        <f t="shared" si="0"/>
        <v>6917.48</v>
      </c>
      <c r="P29" s="16">
        <v>4.5999999999999996</v>
      </c>
      <c r="Q29" s="17">
        <f t="shared" si="1"/>
        <v>503089</v>
      </c>
      <c r="R29" s="17">
        <f t="shared" si="2"/>
        <v>50309</v>
      </c>
      <c r="S29" s="9"/>
      <c r="T29" s="18">
        <f t="shared" si="3"/>
        <v>161687.87813509771</v>
      </c>
      <c r="U29" s="19"/>
      <c r="V29" s="20"/>
      <c r="W29" s="20"/>
      <c r="X29" s="19"/>
    </row>
    <row r="30" spans="1:24">
      <c r="A30" s="8">
        <v>20260520</v>
      </c>
      <c r="B30" s="8" t="s">
        <v>151</v>
      </c>
      <c r="C30" s="9"/>
      <c r="D30" s="9"/>
      <c r="E30" s="9"/>
      <c r="F30" s="8" t="s">
        <v>24</v>
      </c>
      <c r="G30" s="9"/>
      <c r="H30" s="10" t="s">
        <v>25</v>
      </c>
      <c r="I30" s="11">
        <v>1503.8</v>
      </c>
      <c r="J30" s="12"/>
      <c r="K30" s="13" t="s">
        <v>173</v>
      </c>
      <c r="L30" s="13" t="s">
        <v>33</v>
      </c>
      <c r="M30" s="9"/>
      <c r="N30" s="14">
        <v>40</v>
      </c>
      <c r="O30" s="15">
        <f t="shared" ref="O30:O93" si="4">P30*I30</f>
        <v>6917.48</v>
      </c>
      <c r="P30" s="16">
        <v>4.5999999999999996</v>
      </c>
      <c r="Q30" s="17">
        <f t="shared" ref="Q30:Q93" si="5">ROUND(O30*N30/1.1,0)</f>
        <v>251545</v>
      </c>
      <c r="R30" s="17">
        <f t="shared" ref="R30:R93" si="6">ROUND(Q30*0.1,0)</f>
        <v>25155</v>
      </c>
      <c r="S30" s="9"/>
      <c r="T30" s="18">
        <f t="shared" si="3"/>
        <v>80843.939067548854</v>
      </c>
      <c r="U30" s="19"/>
      <c r="V30" s="20"/>
      <c r="W30" s="20"/>
      <c r="X30" s="19"/>
    </row>
    <row r="31" spans="1:24">
      <c r="A31" s="8">
        <v>20260520</v>
      </c>
      <c r="B31" s="8" t="s">
        <v>151</v>
      </c>
      <c r="C31" s="9"/>
      <c r="D31" s="9"/>
      <c r="E31" s="9"/>
      <c r="F31" s="8" t="s">
        <v>24</v>
      </c>
      <c r="G31" s="9"/>
      <c r="H31" s="10" t="s">
        <v>25</v>
      </c>
      <c r="I31" s="11">
        <v>1503.8</v>
      </c>
      <c r="J31" s="12"/>
      <c r="K31" s="13" t="s">
        <v>35</v>
      </c>
      <c r="L31" s="13" t="s">
        <v>33</v>
      </c>
      <c r="M31" s="9"/>
      <c r="N31" s="14">
        <v>40</v>
      </c>
      <c r="O31" s="15">
        <f t="shared" si="4"/>
        <v>6917.48</v>
      </c>
      <c r="P31" s="16">
        <v>4.5999999999999996</v>
      </c>
      <c r="Q31" s="17">
        <f t="shared" si="5"/>
        <v>251545</v>
      </c>
      <c r="R31" s="17">
        <f t="shared" si="6"/>
        <v>25155</v>
      </c>
      <c r="S31" s="9"/>
      <c r="T31" s="18">
        <f t="shared" si="3"/>
        <v>80843.939067548854</v>
      </c>
      <c r="U31" s="19"/>
      <c r="V31" s="20"/>
      <c r="W31" s="20"/>
      <c r="X31" s="19"/>
    </row>
    <row r="32" spans="1:24">
      <c r="A32" s="8">
        <v>20260520</v>
      </c>
      <c r="B32" s="8" t="s">
        <v>151</v>
      </c>
      <c r="C32" s="9"/>
      <c r="D32" s="9"/>
      <c r="E32" s="9"/>
      <c r="F32" s="8" t="s">
        <v>24</v>
      </c>
      <c r="G32" s="9"/>
      <c r="H32" s="10" t="s">
        <v>25</v>
      </c>
      <c r="I32" s="11">
        <v>1503.8</v>
      </c>
      <c r="J32" s="12"/>
      <c r="K32" s="13" t="s">
        <v>174</v>
      </c>
      <c r="L32" s="13" t="s">
        <v>33</v>
      </c>
      <c r="M32" s="9"/>
      <c r="N32" s="14">
        <v>80</v>
      </c>
      <c r="O32" s="15">
        <f t="shared" si="4"/>
        <v>6917.48</v>
      </c>
      <c r="P32" s="16">
        <v>4.5999999999999996</v>
      </c>
      <c r="Q32" s="17">
        <f t="shared" si="5"/>
        <v>503089</v>
      </c>
      <c r="R32" s="17">
        <f t="shared" si="6"/>
        <v>50309</v>
      </c>
      <c r="S32" s="9"/>
      <c r="T32" s="18">
        <f t="shared" si="3"/>
        <v>161687.87813509771</v>
      </c>
      <c r="U32" s="19"/>
      <c r="V32" s="20"/>
      <c r="W32" s="20"/>
      <c r="X32" s="19"/>
    </row>
    <row r="33" spans="1:24">
      <c r="A33" s="8">
        <v>20260520</v>
      </c>
      <c r="B33" s="8" t="s">
        <v>151</v>
      </c>
      <c r="C33" s="9"/>
      <c r="D33" s="9"/>
      <c r="E33" s="9"/>
      <c r="F33" s="8" t="s">
        <v>24</v>
      </c>
      <c r="G33" s="9"/>
      <c r="H33" s="10" t="s">
        <v>25</v>
      </c>
      <c r="I33" s="11">
        <v>1503.8</v>
      </c>
      <c r="J33" s="12"/>
      <c r="K33" s="13" t="s">
        <v>175</v>
      </c>
      <c r="L33" s="13" t="s">
        <v>33</v>
      </c>
      <c r="M33" s="9"/>
      <c r="N33" s="14">
        <v>40</v>
      </c>
      <c r="O33" s="15">
        <f t="shared" si="4"/>
        <v>6917.48</v>
      </c>
      <c r="P33" s="16">
        <v>4.5999999999999996</v>
      </c>
      <c r="Q33" s="17">
        <f t="shared" si="5"/>
        <v>251545</v>
      </c>
      <c r="R33" s="17">
        <f t="shared" si="6"/>
        <v>25155</v>
      </c>
      <c r="S33" s="9"/>
      <c r="T33" s="18">
        <f t="shared" si="3"/>
        <v>80843.939067548854</v>
      </c>
      <c r="U33" s="19"/>
      <c r="V33" s="20"/>
      <c r="W33" s="20"/>
      <c r="X33" s="19"/>
    </row>
    <row r="34" spans="1:24">
      <c r="A34" s="8">
        <v>20260520</v>
      </c>
      <c r="B34" s="8" t="s">
        <v>151</v>
      </c>
      <c r="C34" s="9"/>
      <c r="D34" s="9"/>
      <c r="E34" s="9"/>
      <c r="F34" s="8" t="s">
        <v>24</v>
      </c>
      <c r="G34" s="9"/>
      <c r="H34" s="10" t="s">
        <v>25</v>
      </c>
      <c r="I34" s="11">
        <v>1503.8</v>
      </c>
      <c r="J34" s="12"/>
      <c r="K34" s="13" t="s">
        <v>36</v>
      </c>
      <c r="L34" s="13" t="s">
        <v>33</v>
      </c>
      <c r="M34" s="9"/>
      <c r="N34" s="14">
        <v>40</v>
      </c>
      <c r="O34" s="15">
        <f t="shared" si="4"/>
        <v>6917.48</v>
      </c>
      <c r="P34" s="16">
        <v>4.5999999999999996</v>
      </c>
      <c r="Q34" s="17">
        <f t="shared" si="5"/>
        <v>251545</v>
      </c>
      <c r="R34" s="17">
        <f t="shared" si="6"/>
        <v>25155</v>
      </c>
      <c r="S34" s="9"/>
      <c r="T34" s="18">
        <f t="shared" si="3"/>
        <v>80843.939067548854</v>
      </c>
      <c r="U34" s="19"/>
      <c r="V34" s="20"/>
      <c r="W34" s="20"/>
      <c r="X34" s="19"/>
    </row>
    <row r="35" spans="1:24">
      <c r="A35" s="8">
        <v>20260520</v>
      </c>
      <c r="B35" s="8" t="s">
        <v>151</v>
      </c>
      <c r="C35" s="9"/>
      <c r="D35" s="9"/>
      <c r="E35" s="9"/>
      <c r="F35" s="8" t="s">
        <v>24</v>
      </c>
      <c r="G35" s="9"/>
      <c r="H35" s="10" t="s">
        <v>25</v>
      </c>
      <c r="I35" s="11">
        <v>1503.8</v>
      </c>
      <c r="J35" s="12"/>
      <c r="K35" s="13" t="s">
        <v>34</v>
      </c>
      <c r="L35" s="13" t="s">
        <v>33</v>
      </c>
      <c r="M35" s="9"/>
      <c r="N35" s="14">
        <v>40</v>
      </c>
      <c r="O35" s="15">
        <f t="shared" si="4"/>
        <v>6917.48</v>
      </c>
      <c r="P35" s="16">
        <v>4.5999999999999996</v>
      </c>
      <c r="Q35" s="17">
        <f t="shared" si="5"/>
        <v>251545</v>
      </c>
      <c r="R35" s="17">
        <f t="shared" si="6"/>
        <v>25155</v>
      </c>
      <c r="S35" s="9"/>
      <c r="T35" s="18">
        <f t="shared" si="3"/>
        <v>80843.939067548854</v>
      </c>
      <c r="U35" s="19"/>
      <c r="V35" s="20"/>
      <c r="W35" s="20"/>
      <c r="X35" s="19"/>
    </row>
    <row r="36" spans="1:24">
      <c r="A36" s="8">
        <v>20260520</v>
      </c>
      <c r="B36" s="8" t="s">
        <v>151</v>
      </c>
      <c r="C36" s="9"/>
      <c r="D36" s="9"/>
      <c r="E36" s="9"/>
      <c r="F36" s="8" t="s">
        <v>24</v>
      </c>
      <c r="G36" s="9"/>
      <c r="H36" s="10" t="s">
        <v>25</v>
      </c>
      <c r="I36" s="11">
        <v>1503.8</v>
      </c>
      <c r="J36" s="12"/>
      <c r="K36" s="13" t="s">
        <v>176</v>
      </c>
      <c r="L36" s="13" t="s">
        <v>38</v>
      </c>
      <c r="M36" s="9"/>
      <c r="N36" s="14">
        <v>40</v>
      </c>
      <c r="O36" s="15">
        <f t="shared" si="4"/>
        <v>5864.82</v>
      </c>
      <c r="P36" s="16">
        <v>3.9</v>
      </c>
      <c r="Q36" s="17">
        <f t="shared" si="5"/>
        <v>213266</v>
      </c>
      <c r="R36" s="17">
        <f t="shared" si="6"/>
        <v>21327</v>
      </c>
      <c r="S36" s="9"/>
      <c r="T36" s="18">
        <f t="shared" si="3"/>
        <v>80843.939067548854</v>
      </c>
      <c r="U36" s="19"/>
      <c r="V36" s="20"/>
      <c r="W36" s="20"/>
      <c r="X36" s="19"/>
    </row>
    <row r="37" spans="1:24">
      <c r="A37" s="8">
        <v>20260520</v>
      </c>
      <c r="B37" s="8" t="s">
        <v>151</v>
      </c>
      <c r="C37" s="9"/>
      <c r="D37" s="9"/>
      <c r="E37" s="9"/>
      <c r="F37" s="8" t="s">
        <v>24</v>
      </c>
      <c r="G37" s="9"/>
      <c r="H37" s="10" t="s">
        <v>25</v>
      </c>
      <c r="I37" s="11">
        <v>1503.8</v>
      </c>
      <c r="J37" s="12"/>
      <c r="K37" s="13" t="s">
        <v>177</v>
      </c>
      <c r="L37" s="13" t="s">
        <v>38</v>
      </c>
      <c r="M37" s="9"/>
      <c r="N37" s="14">
        <v>80</v>
      </c>
      <c r="O37" s="15">
        <f t="shared" si="4"/>
        <v>5864.82</v>
      </c>
      <c r="P37" s="16">
        <v>3.9</v>
      </c>
      <c r="Q37" s="17">
        <f t="shared" si="5"/>
        <v>426532</v>
      </c>
      <c r="R37" s="17">
        <f t="shared" si="6"/>
        <v>42653</v>
      </c>
      <c r="S37" s="9"/>
      <c r="T37" s="18">
        <f t="shared" si="3"/>
        <v>161687.87813509771</v>
      </c>
      <c r="U37" s="19"/>
      <c r="V37" s="20"/>
      <c r="W37" s="20"/>
      <c r="X37" s="19"/>
    </row>
    <row r="38" spans="1:24">
      <c r="A38" s="8">
        <v>20260520</v>
      </c>
      <c r="B38" s="8" t="s">
        <v>151</v>
      </c>
      <c r="C38" s="9"/>
      <c r="D38" s="9"/>
      <c r="E38" s="9"/>
      <c r="F38" s="8" t="s">
        <v>24</v>
      </c>
      <c r="G38" s="9"/>
      <c r="H38" s="10" t="s">
        <v>25</v>
      </c>
      <c r="I38" s="11">
        <v>1503.8</v>
      </c>
      <c r="J38" s="12"/>
      <c r="K38" s="13" t="s">
        <v>46</v>
      </c>
      <c r="L38" s="13" t="s">
        <v>38</v>
      </c>
      <c r="M38" s="9"/>
      <c r="N38" s="14">
        <v>40</v>
      </c>
      <c r="O38" s="15">
        <f t="shared" si="4"/>
        <v>5864.82</v>
      </c>
      <c r="P38" s="16">
        <v>3.9</v>
      </c>
      <c r="Q38" s="17">
        <f t="shared" si="5"/>
        <v>213266</v>
      </c>
      <c r="R38" s="17">
        <f t="shared" si="6"/>
        <v>21327</v>
      </c>
      <c r="S38" s="9"/>
      <c r="T38" s="18">
        <f t="shared" si="3"/>
        <v>80843.939067548854</v>
      </c>
      <c r="U38" s="19"/>
      <c r="V38" s="20"/>
      <c r="W38" s="20"/>
      <c r="X38" s="19"/>
    </row>
    <row r="39" spans="1:24">
      <c r="A39" s="8">
        <v>20260520</v>
      </c>
      <c r="B39" s="8" t="s">
        <v>151</v>
      </c>
      <c r="C39" s="9"/>
      <c r="D39" s="9"/>
      <c r="E39" s="9"/>
      <c r="F39" s="8" t="s">
        <v>24</v>
      </c>
      <c r="G39" s="9"/>
      <c r="H39" s="10" t="s">
        <v>25</v>
      </c>
      <c r="I39" s="11">
        <v>1503.8</v>
      </c>
      <c r="J39" s="12"/>
      <c r="K39" s="13" t="s">
        <v>41</v>
      </c>
      <c r="L39" s="13" t="s">
        <v>38</v>
      </c>
      <c r="M39" s="9"/>
      <c r="N39" s="14">
        <v>40</v>
      </c>
      <c r="O39" s="15">
        <f t="shared" si="4"/>
        <v>5864.82</v>
      </c>
      <c r="P39" s="16">
        <v>3.9</v>
      </c>
      <c r="Q39" s="17">
        <f t="shared" si="5"/>
        <v>213266</v>
      </c>
      <c r="R39" s="17">
        <f t="shared" si="6"/>
        <v>21327</v>
      </c>
      <c r="S39" s="9"/>
      <c r="T39" s="18">
        <f t="shared" si="3"/>
        <v>80843.939067548854</v>
      </c>
      <c r="U39" s="19"/>
      <c r="V39" s="20"/>
      <c r="W39" s="20"/>
      <c r="X39" s="19"/>
    </row>
    <row r="40" spans="1:24">
      <c r="A40" s="8">
        <v>20260520</v>
      </c>
      <c r="B40" s="8" t="s">
        <v>151</v>
      </c>
      <c r="C40" s="9"/>
      <c r="D40" s="9"/>
      <c r="E40" s="9"/>
      <c r="F40" s="8" t="s">
        <v>24</v>
      </c>
      <c r="G40" s="9"/>
      <c r="H40" s="10" t="s">
        <v>25</v>
      </c>
      <c r="I40" s="11">
        <v>1503.8</v>
      </c>
      <c r="J40" s="12"/>
      <c r="K40" s="13" t="s">
        <v>44</v>
      </c>
      <c r="L40" s="13" t="s">
        <v>38</v>
      </c>
      <c r="M40" s="9"/>
      <c r="N40" s="14">
        <v>40</v>
      </c>
      <c r="O40" s="15">
        <f t="shared" si="4"/>
        <v>5864.82</v>
      </c>
      <c r="P40" s="16">
        <v>3.9</v>
      </c>
      <c r="Q40" s="17">
        <f t="shared" si="5"/>
        <v>213266</v>
      </c>
      <c r="R40" s="17">
        <f t="shared" si="6"/>
        <v>21327</v>
      </c>
      <c r="S40" s="9"/>
      <c r="T40" s="18">
        <f t="shared" si="3"/>
        <v>80843.939067548854</v>
      </c>
      <c r="U40" s="19"/>
      <c r="V40" s="20"/>
      <c r="W40" s="20"/>
      <c r="X40" s="19"/>
    </row>
    <row r="41" spans="1:24">
      <c r="A41" s="8">
        <v>20260520</v>
      </c>
      <c r="B41" s="8" t="s">
        <v>151</v>
      </c>
      <c r="C41" s="9"/>
      <c r="D41" s="9"/>
      <c r="E41" s="9"/>
      <c r="F41" s="8" t="s">
        <v>24</v>
      </c>
      <c r="G41" s="9"/>
      <c r="H41" s="10" t="s">
        <v>25</v>
      </c>
      <c r="I41" s="11">
        <v>1503.8</v>
      </c>
      <c r="J41" s="12"/>
      <c r="K41" s="13" t="s">
        <v>40</v>
      </c>
      <c r="L41" s="13" t="s">
        <v>38</v>
      </c>
      <c r="M41" s="9"/>
      <c r="N41" s="14">
        <v>40</v>
      </c>
      <c r="O41" s="15">
        <f t="shared" si="4"/>
        <v>5864.82</v>
      </c>
      <c r="P41" s="16">
        <v>3.9</v>
      </c>
      <c r="Q41" s="17">
        <f t="shared" si="5"/>
        <v>213266</v>
      </c>
      <c r="R41" s="17">
        <f t="shared" si="6"/>
        <v>21327</v>
      </c>
      <c r="S41" s="9"/>
      <c r="T41" s="18">
        <f t="shared" si="3"/>
        <v>80843.939067548854</v>
      </c>
      <c r="U41" s="19"/>
      <c r="V41" s="20"/>
      <c r="W41" s="20"/>
      <c r="X41" s="19"/>
    </row>
    <row r="42" spans="1:24">
      <c r="A42" s="8">
        <v>20260520</v>
      </c>
      <c r="B42" s="8" t="s">
        <v>151</v>
      </c>
      <c r="C42" s="9"/>
      <c r="D42" s="9"/>
      <c r="E42" s="9"/>
      <c r="F42" s="8" t="s">
        <v>24</v>
      </c>
      <c r="G42" s="9"/>
      <c r="H42" s="10" t="s">
        <v>25</v>
      </c>
      <c r="I42" s="11">
        <v>1503.8</v>
      </c>
      <c r="J42" s="12"/>
      <c r="K42" s="13" t="s">
        <v>45</v>
      </c>
      <c r="L42" s="13" t="s">
        <v>38</v>
      </c>
      <c r="M42" s="9"/>
      <c r="N42" s="14">
        <v>160</v>
      </c>
      <c r="O42" s="15">
        <f t="shared" si="4"/>
        <v>5864.82</v>
      </c>
      <c r="P42" s="16">
        <v>3.9</v>
      </c>
      <c r="Q42" s="17">
        <f t="shared" si="5"/>
        <v>853065</v>
      </c>
      <c r="R42" s="17">
        <f t="shared" si="6"/>
        <v>85307</v>
      </c>
      <c r="S42" s="9"/>
      <c r="T42" s="18">
        <f t="shared" si="3"/>
        <v>323375.75627019542</v>
      </c>
      <c r="U42" s="19"/>
      <c r="V42" s="20"/>
      <c r="W42" s="20"/>
      <c r="X42" s="19"/>
    </row>
    <row r="43" spans="1:24">
      <c r="A43" s="8">
        <v>20260520</v>
      </c>
      <c r="B43" s="8" t="s">
        <v>151</v>
      </c>
      <c r="C43" s="9"/>
      <c r="D43" s="9"/>
      <c r="E43" s="9"/>
      <c r="F43" s="8" t="s">
        <v>24</v>
      </c>
      <c r="G43" s="9"/>
      <c r="H43" s="10" t="s">
        <v>25</v>
      </c>
      <c r="I43" s="11">
        <v>1503.8</v>
      </c>
      <c r="J43" s="12"/>
      <c r="K43" s="13" t="s">
        <v>42</v>
      </c>
      <c r="L43" s="13" t="s">
        <v>38</v>
      </c>
      <c r="M43" s="9"/>
      <c r="N43" s="14">
        <v>80</v>
      </c>
      <c r="O43" s="15">
        <f t="shared" si="4"/>
        <v>5864.82</v>
      </c>
      <c r="P43" s="16">
        <v>3.9</v>
      </c>
      <c r="Q43" s="17">
        <f t="shared" si="5"/>
        <v>426532</v>
      </c>
      <c r="R43" s="17">
        <f t="shared" si="6"/>
        <v>42653</v>
      </c>
      <c r="S43" s="9"/>
      <c r="T43" s="18">
        <f t="shared" si="3"/>
        <v>161687.87813509771</v>
      </c>
      <c r="U43" s="19"/>
      <c r="V43" s="20"/>
      <c r="W43" s="20"/>
      <c r="X43" s="19"/>
    </row>
    <row r="44" spans="1:24">
      <c r="A44" s="8">
        <v>20260520</v>
      </c>
      <c r="B44" s="8" t="s">
        <v>151</v>
      </c>
      <c r="C44" s="9"/>
      <c r="D44" s="9"/>
      <c r="E44" s="9"/>
      <c r="F44" s="8" t="s">
        <v>24</v>
      </c>
      <c r="G44" s="9"/>
      <c r="H44" s="10" t="s">
        <v>25</v>
      </c>
      <c r="I44" s="11">
        <v>1503.8</v>
      </c>
      <c r="J44" s="12"/>
      <c r="K44" s="13" t="s">
        <v>37</v>
      </c>
      <c r="L44" s="13" t="s">
        <v>38</v>
      </c>
      <c r="M44" s="9"/>
      <c r="N44" s="14">
        <v>40</v>
      </c>
      <c r="O44" s="15">
        <f t="shared" si="4"/>
        <v>5864.82</v>
      </c>
      <c r="P44" s="16">
        <v>3.9</v>
      </c>
      <c r="Q44" s="17">
        <f t="shared" si="5"/>
        <v>213266</v>
      </c>
      <c r="R44" s="17">
        <f t="shared" si="6"/>
        <v>21327</v>
      </c>
      <c r="S44" s="9"/>
      <c r="T44" s="18">
        <f t="shared" si="3"/>
        <v>80843.939067548854</v>
      </c>
      <c r="U44" s="19"/>
      <c r="V44" s="20"/>
      <c r="W44" s="20"/>
      <c r="X44" s="19"/>
    </row>
    <row r="45" spans="1:24">
      <c r="A45" s="8">
        <v>20260520</v>
      </c>
      <c r="B45" s="8" t="s">
        <v>151</v>
      </c>
      <c r="C45" s="9"/>
      <c r="D45" s="9"/>
      <c r="E45" s="9"/>
      <c r="F45" s="8" t="s">
        <v>24</v>
      </c>
      <c r="G45" s="9"/>
      <c r="H45" s="10" t="s">
        <v>25</v>
      </c>
      <c r="I45" s="11">
        <v>1503.8</v>
      </c>
      <c r="J45" s="12"/>
      <c r="K45" s="13" t="s">
        <v>39</v>
      </c>
      <c r="L45" s="13" t="s">
        <v>38</v>
      </c>
      <c r="M45" s="9"/>
      <c r="N45" s="14">
        <v>40</v>
      </c>
      <c r="O45" s="15">
        <f t="shared" si="4"/>
        <v>5864.82</v>
      </c>
      <c r="P45" s="16">
        <v>3.9</v>
      </c>
      <c r="Q45" s="17">
        <f t="shared" si="5"/>
        <v>213266</v>
      </c>
      <c r="R45" s="17">
        <f t="shared" si="6"/>
        <v>21327</v>
      </c>
      <c r="S45" s="9"/>
      <c r="T45" s="18">
        <f t="shared" si="3"/>
        <v>80843.939067548854</v>
      </c>
      <c r="U45" s="19"/>
      <c r="V45" s="20"/>
      <c r="W45" s="20"/>
      <c r="X45" s="19"/>
    </row>
    <row r="46" spans="1:24">
      <c r="A46" s="8">
        <v>20260520</v>
      </c>
      <c r="B46" s="8" t="s">
        <v>151</v>
      </c>
      <c r="C46" s="9"/>
      <c r="D46" s="9"/>
      <c r="E46" s="9"/>
      <c r="F46" s="8" t="s">
        <v>24</v>
      </c>
      <c r="G46" s="9"/>
      <c r="H46" s="10" t="s">
        <v>25</v>
      </c>
      <c r="I46" s="11">
        <v>1503.8</v>
      </c>
      <c r="J46" s="12"/>
      <c r="K46" s="13" t="s">
        <v>134</v>
      </c>
      <c r="L46" s="13" t="s">
        <v>38</v>
      </c>
      <c r="M46" s="9"/>
      <c r="N46" s="14">
        <v>40</v>
      </c>
      <c r="O46" s="15">
        <f t="shared" si="4"/>
        <v>5864.82</v>
      </c>
      <c r="P46" s="16">
        <v>3.9</v>
      </c>
      <c r="Q46" s="17">
        <f t="shared" si="5"/>
        <v>213266</v>
      </c>
      <c r="R46" s="17">
        <f t="shared" si="6"/>
        <v>21327</v>
      </c>
      <c r="S46" s="9"/>
      <c r="T46" s="18">
        <f t="shared" si="3"/>
        <v>80843.939067548854</v>
      </c>
      <c r="U46" s="19"/>
      <c r="V46" s="20"/>
      <c r="W46" s="20"/>
      <c r="X46" s="19"/>
    </row>
    <row r="47" spans="1:24">
      <c r="A47" s="8">
        <v>20260520</v>
      </c>
      <c r="B47" s="8" t="s">
        <v>151</v>
      </c>
      <c r="C47" s="9"/>
      <c r="D47" s="9"/>
      <c r="E47" s="9"/>
      <c r="F47" s="8" t="s">
        <v>24</v>
      </c>
      <c r="G47" s="9"/>
      <c r="H47" s="10" t="s">
        <v>25</v>
      </c>
      <c r="I47" s="11">
        <v>1503.8</v>
      </c>
      <c r="J47" s="12"/>
      <c r="K47" s="13" t="s">
        <v>43</v>
      </c>
      <c r="L47" s="13" t="s">
        <v>38</v>
      </c>
      <c r="M47" s="9"/>
      <c r="N47" s="14">
        <v>80</v>
      </c>
      <c r="O47" s="15">
        <f t="shared" si="4"/>
        <v>5864.82</v>
      </c>
      <c r="P47" s="16">
        <v>3.9</v>
      </c>
      <c r="Q47" s="17">
        <f t="shared" si="5"/>
        <v>426532</v>
      </c>
      <c r="R47" s="17">
        <f t="shared" si="6"/>
        <v>42653</v>
      </c>
      <c r="S47" s="9"/>
      <c r="T47" s="18">
        <f t="shared" si="3"/>
        <v>161687.87813509771</v>
      </c>
      <c r="U47" s="19"/>
      <c r="V47" s="20"/>
      <c r="W47" s="20"/>
      <c r="X47" s="19"/>
    </row>
    <row r="48" spans="1:24">
      <c r="A48" s="8">
        <v>20260520</v>
      </c>
      <c r="B48" s="8" t="s">
        <v>151</v>
      </c>
      <c r="C48" s="9"/>
      <c r="D48" s="9"/>
      <c r="E48" s="9"/>
      <c r="F48" s="8" t="s">
        <v>24</v>
      </c>
      <c r="G48" s="9"/>
      <c r="H48" s="10" t="s">
        <v>25</v>
      </c>
      <c r="I48" s="11">
        <v>1503.8</v>
      </c>
      <c r="J48" s="12"/>
      <c r="K48" s="13" t="s">
        <v>135</v>
      </c>
      <c r="L48" s="13" t="s">
        <v>38</v>
      </c>
      <c r="M48" s="9"/>
      <c r="N48" s="14">
        <v>120</v>
      </c>
      <c r="O48" s="15">
        <f t="shared" si="4"/>
        <v>5864.82</v>
      </c>
      <c r="P48" s="16">
        <v>3.9</v>
      </c>
      <c r="Q48" s="17">
        <f t="shared" si="5"/>
        <v>639799</v>
      </c>
      <c r="R48" s="17">
        <f t="shared" si="6"/>
        <v>63980</v>
      </c>
      <c r="S48" s="9"/>
      <c r="T48" s="18">
        <f t="shared" si="3"/>
        <v>242531.81720264658</v>
      </c>
      <c r="U48" s="19"/>
      <c r="V48" s="20"/>
      <c r="W48" s="20"/>
      <c r="X48" s="19"/>
    </row>
    <row r="49" spans="1:24">
      <c r="A49" s="8">
        <v>20260520</v>
      </c>
      <c r="B49" s="8" t="s">
        <v>151</v>
      </c>
      <c r="C49" s="9"/>
      <c r="D49" s="9"/>
      <c r="E49" s="9"/>
      <c r="F49" s="8" t="s">
        <v>24</v>
      </c>
      <c r="G49" s="9"/>
      <c r="H49" s="10" t="s">
        <v>25</v>
      </c>
      <c r="I49" s="11">
        <v>1503.8</v>
      </c>
      <c r="J49" s="12"/>
      <c r="K49" s="13" t="s">
        <v>178</v>
      </c>
      <c r="L49" s="13" t="s">
        <v>38</v>
      </c>
      <c r="M49" s="9"/>
      <c r="N49" s="14">
        <v>80</v>
      </c>
      <c r="O49" s="15">
        <f t="shared" si="4"/>
        <v>5864.82</v>
      </c>
      <c r="P49" s="16">
        <v>3.9</v>
      </c>
      <c r="Q49" s="17">
        <f t="shared" si="5"/>
        <v>426532</v>
      </c>
      <c r="R49" s="17">
        <f t="shared" si="6"/>
        <v>42653</v>
      </c>
      <c r="S49" s="9"/>
      <c r="T49" s="18">
        <f t="shared" si="3"/>
        <v>161687.87813509771</v>
      </c>
      <c r="U49" s="19"/>
      <c r="V49" s="20"/>
      <c r="W49" s="20"/>
      <c r="X49" s="19"/>
    </row>
    <row r="50" spans="1:24">
      <c r="A50" s="8">
        <v>20260520</v>
      </c>
      <c r="B50" s="8" t="s">
        <v>151</v>
      </c>
      <c r="C50" s="9"/>
      <c r="D50" s="9"/>
      <c r="E50" s="9"/>
      <c r="F50" s="8" t="s">
        <v>24</v>
      </c>
      <c r="G50" s="9"/>
      <c r="H50" s="10" t="s">
        <v>25</v>
      </c>
      <c r="I50" s="11">
        <v>1503.8</v>
      </c>
      <c r="J50" s="12"/>
      <c r="K50" s="13" t="s">
        <v>179</v>
      </c>
      <c r="L50" s="13" t="s">
        <v>48</v>
      </c>
      <c r="M50" s="9"/>
      <c r="N50" s="14">
        <v>20</v>
      </c>
      <c r="O50" s="15">
        <f t="shared" si="4"/>
        <v>18496.740000000002</v>
      </c>
      <c r="P50" s="16">
        <v>12.3</v>
      </c>
      <c r="Q50" s="17">
        <f t="shared" si="5"/>
        <v>336304</v>
      </c>
      <c r="R50" s="17">
        <f t="shared" si="6"/>
        <v>33630</v>
      </c>
      <c r="S50" s="9"/>
      <c r="T50" s="18">
        <f t="shared" si="3"/>
        <v>40421.969533774427</v>
      </c>
      <c r="U50" s="19"/>
      <c r="V50" s="20"/>
      <c r="W50" s="20"/>
      <c r="X50" s="19"/>
    </row>
    <row r="51" spans="1:24">
      <c r="A51" s="8">
        <v>20260520</v>
      </c>
      <c r="B51" s="8" t="s">
        <v>151</v>
      </c>
      <c r="C51" s="9"/>
      <c r="D51" s="9"/>
      <c r="E51" s="9"/>
      <c r="F51" s="8" t="s">
        <v>24</v>
      </c>
      <c r="G51" s="9"/>
      <c r="H51" s="10" t="s">
        <v>25</v>
      </c>
      <c r="I51" s="11">
        <v>1503.8</v>
      </c>
      <c r="J51" s="12"/>
      <c r="K51" s="13" t="s">
        <v>180</v>
      </c>
      <c r="L51" s="13" t="s">
        <v>48</v>
      </c>
      <c r="M51" s="9"/>
      <c r="N51" s="14">
        <v>20</v>
      </c>
      <c r="O51" s="15">
        <f t="shared" si="4"/>
        <v>18496.740000000002</v>
      </c>
      <c r="P51" s="16">
        <v>12.3</v>
      </c>
      <c r="Q51" s="17">
        <f t="shared" si="5"/>
        <v>336304</v>
      </c>
      <c r="R51" s="17">
        <f t="shared" si="6"/>
        <v>33630</v>
      </c>
      <c r="S51" s="9"/>
      <c r="T51" s="18">
        <f t="shared" si="3"/>
        <v>40421.969533774427</v>
      </c>
      <c r="U51" s="19"/>
      <c r="V51" s="20"/>
      <c r="W51" s="20"/>
      <c r="X51" s="19"/>
    </row>
    <row r="52" spans="1:24">
      <c r="A52" s="8">
        <v>20260520</v>
      </c>
      <c r="B52" s="8" t="s">
        <v>151</v>
      </c>
      <c r="C52" s="9"/>
      <c r="D52" s="9"/>
      <c r="E52" s="9"/>
      <c r="F52" s="8" t="s">
        <v>24</v>
      </c>
      <c r="G52" s="9"/>
      <c r="H52" s="10" t="s">
        <v>25</v>
      </c>
      <c r="I52" s="11">
        <v>1503.8</v>
      </c>
      <c r="J52" s="12"/>
      <c r="K52" s="13" t="s">
        <v>47</v>
      </c>
      <c r="L52" s="13" t="s">
        <v>48</v>
      </c>
      <c r="M52" s="9"/>
      <c r="N52" s="14">
        <v>20</v>
      </c>
      <c r="O52" s="15">
        <f t="shared" si="4"/>
        <v>18496.740000000002</v>
      </c>
      <c r="P52" s="16">
        <v>12.3</v>
      </c>
      <c r="Q52" s="17">
        <f t="shared" si="5"/>
        <v>336304</v>
      </c>
      <c r="R52" s="17">
        <f t="shared" si="6"/>
        <v>33630</v>
      </c>
      <c r="S52" s="9"/>
      <c r="T52" s="18">
        <f t="shared" si="3"/>
        <v>40421.969533774427</v>
      </c>
      <c r="U52" s="19"/>
      <c r="V52" s="20"/>
      <c r="W52" s="20"/>
      <c r="X52" s="19"/>
    </row>
    <row r="53" spans="1:24">
      <c r="A53" s="8">
        <v>20260520</v>
      </c>
      <c r="B53" s="8" t="s">
        <v>151</v>
      </c>
      <c r="C53" s="9"/>
      <c r="D53" s="9"/>
      <c r="E53" s="9"/>
      <c r="F53" s="8" t="s">
        <v>24</v>
      </c>
      <c r="G53" s="9"/>
      <c r="H53" s="10" t="s">
        <v>25</v>
      </c>
      <c r="I53" s="11">
        <v>1503.8</v>
      </c>
      <c r="J53" s="12"/>
      <c r="K53" s="13" t="s">
        <v>181</v>
      </c>
      <c r="L53" s="13" t="s">
        <v>50</v>
      </c>
      <c r="M53" s="9"/>
      <c r="N53" s="14">
        <v>50</v>
      </c>
      <c r="O53" s="15">
        <f t="shared" si="4"/>
        <v>18496.740000000002</v>
      </c>
      <c r="P53" s="16">
        <v>12.3</v>
      </c>
      <c r="Q53" s="17">
        <f t="shared" si="5"/>
        <v>840761</v>
      </c>
      <c r="R53" s="17">
        <f t="shared" si="6"/>
        <v>84076</v>
      </c>
      <c r="S53" s="9"/>
      <c r="T53" s="18">
        <f t="shared" si="3"/>
        <v>101054.92383443606</v>
      </c>
      <c r="U53" s="19"/>
      <c r="V53" s="20"/>
      <c r="W53" s="20"/>
      <c r="X53" s="19"/>
    </row>
    <row r="54" spans="1:24">
      <c r="A54" s="8">
        <v>20260520</v>
      </c>
      <c r="B54" s="8" t="s">
        <v>151</v>
      </c>
      <c r="C54" s="9"/>
      <c r="D54" s="9"/>
      <c r="E54" s="9"/>
      <c r="F54" s="8" t="s">
        <v>24</v>
      </c>
      <c r="G54" s="9"/>
      <c r="H54" s="10" t="s">
        <v>25</v>
      </c>
      <c r="I54" s="11">
        <v>1503.8</v>
      </c>
      <c r="J54" s="12"/>
      <c r="K54" s="13" t="s">
        <v>49</v>
      </c>
      <c r="L54" s="13" t="s">
        <v>50</v>
      </c>
      <c r="M54" s="9"/>
      <c r="N54" s="14">
        <v>10</v>
      </c>
      <c r="O54" s="15">
        <f t="shared" si="4"/>
        <v>18496.740000000002</v>
      </c>
      <c r="P54" s="16">
        <v>12.3</v>
      </c>
      <c r="Q54" s="17">
        <f t="shared" si="5"/>
        <v>168152</v>
      </c>
      <c r="R54" s="17">
        <f t="shared" si="6"/>
        <v>16815</v>
      </c>
      <c r="S54" s="9"/>
      <c r="T54" s="18">
        <f t="shared" si="3"/>
        <v>20210.984766887213</v>
      </c>
      <c r="U54" s="19"/>
      <c r="V54" s="20"/>
      <c r="W54" s="20"/>
      <c r="X54" s="19"/>
    </row>
    <row r="55" spans="1:24">
      <c r="A55" s="8">
        <v>20260520</v>
      </c>
      <c r="B55" s="8" t="s">
        <v>151</v>
      </c>
      <c r="C55" s="9"/>
      <c r="D55" s="9"/>
      <c r="E55" s="9"/>
      <c r="F55" s="8" t="s">
        <v>24</v>
      </c>
      <c r="G55" s="9"/>
      <c r="H55" s="10" t="s">
        <v>25</v>
      </c>
      <c r="I55" s="11">
        <v>1503.8</v>
      </c>
      <c r="J55" s="12"/>
      <c r="K55" s="13" t="s">
        <v>51</v>
      </c>
      <c r="L55" s="13" t="s">
        <v>50</v>
      </c>
      <c r="M55" s="9"/>
      <c r="N55" s="14">
        <v>50</v>
      </c>
      <c r="O55" s="15">
        <f t="shared" si="4"/>
        <v>18496.740000000002</v>
      </c>
      <c r="P55" s="16">
        <v>12.3</v>
      </c>
      <c r="Q55" s="17">
        <f t="shared" si="5"/>
        <v>840761</v>
      </c>
      <c r="R55" s="17">
        <f t="shared" si="6"/>
        <v>84076</v>
      </c>
      <c r="S55" s="9"/>
      <c r="T55" s="18">
        <f t="shared" si="3"/>
        <v>101054.92383443606</v>
      </c>
      <c r="U55" s="19"/>
      <c r="V55" s="20"/>
      <c r="W55" s="20"/>
      <c r="X55" s="19"/>
    </row>
    <row r="56" spans="1:24">
      <c r="A56" s="8">
        <v>20260520</v>
      </c>
      <c r="B56" s="8" t="s">
        <v>151</v>
      </c>
      <c r="C56" s="9"/>
      <c r="D56" s="9"/>
      <c r="E56" s="9"/>
      <c r="F56" s="8" t="s">
        <v>24</v>
      </c>
      <c r="G56" s="9"/>
      <c r="H56" s="10" t="s">
        <v>25</v>
      </c>
      <c r="I56" s="11">
        <v>1503.8</v>
      </c>
      <c r="J56" s="12"/>
      <c r="K56" s="13" t="s">
        <v>136</v>
      </c>
      <c r="L56" s="13" t="s">
        <v>52</v>
      </c>
      <c r="M56" s="9"/>
      <c r="N56" s="14">
        <v>20</v>
      </c>
      <c r="O56" s="15">
        <f t="shared" si="4"/>
        <v>18496.740000000002</v>
      </c>
      <c r="P56" s="16">
        <v>12.3</v>
      </c>
      <c r="Q56" s="17">
        <f t="shared" si="5"/>
        <v>336304</v>
      </c>
      <c r="R56" s="17">
        <f t="shared" si="6"/>
        <v>33630</v>
      </c>
      <c r="S56" s="9"/>
      <c r="T56" s="18">
        <f t="shared" si="3"/>
        <v>40421.969533774427</v>
      </c>
      <c r="U56" s="19"/>
      <c r="V56" s="20"/>
      <c r="W56" s="20"/>
      <c r="X56" s="19"/>
    </row>
    <row r="57" spans="1:24">
      <c r="A57" s="8">
        <v>20260520</v>
      </c>
      <c r="B57" s="8" t="s">
        <v>151</v>
      </c>
      <c r="C57" s="9"/>
      <c r="D57" s="9"/>
      <c r="E57" s="9"/>
      <c r="F57" s="8" t="s">
        <v>24</v>
      </c>
      <c r="G57" s="9"/>
      <c r="H57" s="10" t="s">
        <v>25</v>
      </c>
      <c r="I57" s="11">
        <v>1503.8</v>
      </c>
      <c r="J57" s="12"/>
      <c r="K57" s="13" t="s">
        <v>138</v>
      </c>
      <c r="L57" s="13" t="s">
        <v>52</v>
      </c>
      <c r="M57" s="9"/>
      <c r="N57" s="14">
        <v>30</v>
      </c>
      <c r="O57" s="15">
        <f t="shared" si="4"/>
        <v>18496.740000000002</v>
      </c>
      <c r="P57" s="16">
        <v>12.3</v>
      </c>
      <c r="Q57" s="17">
        <f t="shared" si="5"/>
        <v>504457</v>
      </c>
      <c r="R57" s="17">
        <f t="shared" si="6"/>
        <v>50446</v>
      </c>
      <c r="S57" s="9"/>
      <c r="T57" s="18">
        <f t="shared" si="3"/>
        <v>60632.954300661644</v>
      </c>
      <c r="U57" s="19"/>
      <c r="V57" s="20"/>
      <c r="W57" s="20"/>
      <c r="X57" s="19"/>
    </row>
    <row r="58" spans="1:24">
      <c r="A58" s="8">
        <v>20260520</v>
      </c>
      <c r="B58" s="8" t="s">
        <v>151</v>
      </c>
      <c r="C58" s="9"/>
      <c r="D58" s="9"/>
      <c r="E58" s="9"/>
      <c r="F58" s="8" t="s">
        <v>24</v>
      </c>
      <c r="G58" s="9"/>
      <c r="H58" s="10" t="s">
        <v>25</v>
      </c>
      <c r="I58" s="11">
        <v>1503.8</v>
      </c>
      <c r="J58" s="12"/>
      <c r="K58" s="13" t="s">
        <v>137</v>
      </c>
      <c r="L58" s="13" t="s">
        <v>52</v>
      </c>
      <c r="M58" s="9"/>
      <c r="N58" s="14">
        <v>60</v>
      </c>
      <c r="O58" s="15">
        <f t="shared" si="4"/>
        <v>18496.740000000002</v>
      </c>
      <c r="P58" s="16">
        <v>12.3</v>
      </c>
      <c r="Q58" s="17">
        <f t="shared" si="5"/>
        <v>1008913</v>
      </c>
      <c r="R58" s="17">
        <f t="shared" si="6"/>
        <v>100891</v>
      </c>
      <c r="S58" s="9"/>
      <c r="T58" s="18">
        <f t="shared" si="3"/>
        <v>121265.90860132329</v>
      </c>
      <c r="U58" s="19"/>
      <c r="V58" s="20"/>
      <c r="W58" s="20"/>
      <c r="X58" s="19"/>
    </row>
    <row r="59" spans="1:24">
      <c r="A59" s="8">
        <v>20260520</v>
      </c>
      <c r="B59" s="8" t="s">
        <v>151</v>
      </c>
      <c r="C59" s="9"/>
      <c r="D59" s="9"/>
      <c r="E59" s="9"/>
      <c r="F59" s="8" t="s">
        <v>24</v>
      </c>
      <c r="G59" s="9"/>
      <c r="H59" s="10" t="s">
        <v>25</v>
      </c>
      <c r="I59" s="11">
        <v>1503.8</v>
      </c>
      <c r="J59" s="12"/>
      <c r="K59" s="13" t="s">
        <v>53</v>
      </c>
      <c r="L59" s="13" t="s">
        <v>52</v>
      </c>
      <c r="M59" s="9"/>
      <c r="N59" s="14">
        <v>20</v>
      </c>
      <c r="O59" s="15">
        <f t="shared" si="4"/>
        <v>18496.740000000002</v>
      </c>
      <c r="P59" s="16">
        <v>12.3</v>
      </c>
      <c r="Q59" s="17">
        <f t="shared" si="5"/>
        <v>336304</v>
      </c>
      <c r="R59" s="17">
        <f t="shared" si="6"/>
        <v>33630</v>
      </c>
      <c r="S59" s="9"/>
      <c r="T59" s="18">
        <f t="shared" si="3"/>
        <v>40421.969533774427</v>
      </c>
      <c r="U59" s="19"/>
      <c r="V59" s="20"/>
      <c r="W59" s="20"/>
      <c r="X59" s="19"/>
    </row>
    <row r="60" spans="1:24">
      <c r="A60" s="8">
        <v>20260520</v>
      </c>
      <c r="B60" s="8" t="s">
        <v>151</v>
      </c>
      <c r="C60" s="9"/>
      <c r="D60" s="9"/>
      <c r="E60" s="9"/>
      <c r="F60" s="8" t="s">
        <v>24</v>
      </c>
      <c r="G60" s="9"/>
      <c r="H60" s="10" t="s">
        <v>25</v>
      </c>
      <c r="I60" s="11">
        <v>1503.8</v>
      </c>
      <c r="J60" s="12"/>
      <c r="K60" s="13" t="s">
        <v>54</v>
      </c>
      <c r="L60" s="13" t="s">
        <v>52</v>
      </c>
      <c r="M60" s="9"/>
      <c r="N60" s="14">
        <v>10</v>
      </c>
      <c r="O60" s="15">
        <f t="shared" si="4"/>
        <v>18496.740000000002</v>
      </c>
      <c r="P60" s="16">
        <v>12.3</v>
      </c>
      <c r="Q60" s="17">
        <f t="shared" si="5"/>
        <v>168152</v>
      </c>
      <c r="R60" s="17">
        <f t="shared" si="6"/>
        <v>16815</v>
      </c>
      <c r="S60" s="9"/>
      <c r="T60" s="18">
        <f t="shared" si="3"/>
        <v>20210.984766887213</v>
      </c>
      <c r="U60" s="19"/>
      <c r="V60" s="20"/>
      <c r="W60" s="20"/>
      <c r="X60" s="19"/>
    </row>
    <row r="61" spans="1:24">
      <c r="A61" s="8">
        <v>20260520</v>
      </c>
      <c r="B61" s="8" t="s">
        <v>151</v>
      </c>
      <c r="C61" s="9"/>
      <c r="D61" s="9"/>
      <c r="E61" s="9"/>
      <c r="F61" s="8" t="s">
        <v>24</v>
      </c>
      <c r="G61" s="9"/>
      <c r="H61" s="10" t="s">
        <v>25</v>
      </c>
      <c r="I61" s="11">
        <v>1503.8</v>
      </c>
      <c r="J61" s="12"/>
      <c r="K61" s="13" t="s">
        <v>57</v>
      </c>
      <c r="L61" s="13" t="s">
        <v>52</v>
      </c>
      <c r="M61" s="9"/>
      <c r="N61" s="14">
        <v>10</v>
      </c>
      <c r="O61" s="15">
        <f t="shared" si="4"/>
        <v>18496.740000000002</v>
      </c>
      <c r="P61" s="16">
        <v>12.3</v>
      </c>
      <c r="Q61" s="17">
        <f t="shared" si="5"/>
        <v>168152</v>
      </c>
      <c r="R61" s="17">
        <f t="shared" si="6"/>
        <v>16815</v>
      </c>
      <c r="S61" s="9"/>
      <c r="T61" s="18">
        <f t="shared" si="3"/>
        <v>20210.984766887213</v>
      </c>
      <c r="U61" s="19"/>
      <c r="V61" s="20"/>
      <c r="W61" s="20"/>
      <c r="X61" s="19"/>
    </row>
    <row r="62" spans="1:24">
      <c r="A62" s="8">
        <v>20260520</v>
      </c>
      <c r="B62" s="8" t="s">
        <v>151</v>
      </c>
      <c r="C62" s="9"/>
      <c r="D62" s="9"/>
      <c r="E62" s="9"/>
      <c r="F62" s="8" t="s">
        <v>24</v>
      </c>
      <c r="G62" s="9"/>
      <c r="H62" s="10" t="s">
        <v>25</v>
      </c>
      <c r="I62" s="11">
        <v>1503.8</v>
      </c>
      <c r="J62" s="12"/>
      <c r="K62" s="13" t="s">
        <v>55</v>
      </c>
      <c r="L62" s="13" t="s">
        <v>52</v>
      </c>
      <c r="M62" s="9"/>
      <c r="N62" s="14">
        <v>10</v>
      </c>
      <c r="O62" s="15">
        <f t="shared" si="4"/>
        <v>18496.740000000002</v>
      </c>
      <c r="P62" s="16">
        <v>12.3</v>
      </c>
      <c r="Q62" s="17">
        <f t="shared" si="5"/>
        <v>168152</v>
      </c>
      <c r="R62" s="17">
        <f t="shared" si="6"/>
        <v>16815</v>
      </c>
      <c r="S62" s="9"/>
      <c r="T62" s="18">
        <f t="shared" si="3"/>
        <v>20210.984766887213</v>
      </c>
      <c r="U62" s="19"/>
      <c r="V62" s="20"/>
      <c r="W62" s="20"/>
      <c r="X62" s="19"/>
    </row>
    <row r="63" spans="1:24">
      <c r="A63" s="8">
        <v>20260520</v>
      </c>
      <c r="B63" s="8" t="s">
        <v>151</v>
      </c>
      <c r="C63" s="9"/>
      <c r="D63" s="9"/>
      <c r="E63" s="9"/>
      <c r="F63" s="8" t="s">
        <v>24</v>
      </c>
      <c r="G63" s="9"/>
      <c r="H63" s="10" t="s">
        <v>25</v>
      </c>
      <c r="I63" s="11">
        <v>1503.8</v>
      </c>
      <c r="J63" s="12"/>
      <c r="K63" s="13" t="s">
        <v>56</v>
      </c>
      <c r="L63" s="13" t="s">
        <v>52</v>
      </c>
      <c r="M63" s="9"/>
      <c r="N63" s="14">
        <v>90</v>
      </c>
      <c r="O63" s="15">
        <f t="shared" si="4"/>
        <v>18496.740000000002</v>
      </c>
      <c r="P63" s="16">
        <v>12.3</v>
      </c>
      <c r="Q63" s="17">
        <f t="shared" si="5"/>
        <v>1513370</v>
      </c>
      <c r="R63" s="17">
        <f t="shared" si="6"/>
        <v>151337</v>
      </c>
      <c r="S63" s="9"/>
      <c r="T63" s="18">
        <f t="shared" si="3"/>
        <v>181898.86290198492</v>
      </c>
      <c r="U63" s="19"/>
      <c r="V63" s="20"/>
      <c r="W63" s="20"/>
      <c r="X63" s="19"/>
    </row>
    <row r="64" spans="1:24">
      <c r="A64" s="8">
        <v>20260520</v>
      </c>
      <c r="B64" s="8" t="s">
        <v>151</v>
      </c>
      <c r="C64" s="9"/>
      <c r="D64" s="9"/>
      <c r="E64" s="9"/>
      <c r="F64" s="8" t="s">
        <v>24</v>
      </c>
      <c r="G64" s="9"/>
      <c r="H64" s="10" t="s">
        <v>25</v>
      </c>
      <c r="I64" s="11">
        <v>1503.8</v>
      </c>
      <c r="J64" s="12"/>
      <c r="K64" s="13" t="s">
        <v>144</v>
      </c>
      <c r="L64" s="13" t="s">
        <v>140</v>
      </c>
      <c r="M64" s="9"/>
      <c r="N64" s="14">
        <v>30</v>
      </c>
      <c r="O64" s="15">
        <f t="shared" si="4"/>
        <v>19098.259999999998</v>
      </c>
      <c r="P64" s="16">
        <v>12.7</v>
      </c>
      <c r="Q64" s="17">
        <f t="shared" si="5"/>
        <v>520862</v>
      </c>
      <c r="R64" s="17">
        <f t="shared" si="6"/>
        <v>52086</v>
      </c>
      <c r="S64" s="9"/>
      <c r="T64" s="18">
        <f t="shared" si="3"/>
        <v>60632.954300661644</v>
      </c>
      <c r="U64" s="19"/>
      <c r="V64" s="20"/>
      <c r="W64" s="20"/>
      <c r="X64" s="19"/>
    </row>
    <row r="65" spans="1:24">
      <c r="A65" s="8">
        <v>20260520</v>
      </c>
      <c r="B65" s="8" t="s">
        <v>151</v>
      </c>
      <c r="C65" s="9"/>
      <c r="D65" s="9"/>
      <c r="E65" s="9"/>
      <c r="F65" s="8" t="s">
        <v>24</v>
      </c>
      <c r="G65" s="9"/>
      <c r="H65" s="10" t="s">
        <v>25</v>
      </c>
      <c r="I65" s="11">
        <v>1503.8</v>
      </c>
      <c r="J65" s="12"/>
      <c r="K65" s="13" t="s">
        <v>141</v>
      </c>
      <c r="L65" s="13" t="s">
        <v>140</v>
      </c>
      <c r="M65" s="9"/>
      <c r="N65" s="14">
        <v>72</v>
      </c>
      <c r="O65" s="15">
        <f t="shared" si="4"/>
        <v>19098.259999999998</v>
      </c>
      <c r="P65" s="16">
        <v>12.7</v>
      </c>
      <c r="Q65" s="17">
        <f t="shared" si="5"/>
        <v>1250068</v>
      </c>
      <c r="R65" s="17">
        <f t="shared" si="6"/>
        <v>125007</v>
      </c>
      <c r="S65" s="9"/>
      <c r="T65" s="18">
        <f t="shared" si="3"/>
        <v>145519.09032158792</v>
      </c>
      <c r="U65" s="19"/>
      <c r="V65" s="20"/>
      <c r="W65" s="20"/>
      <c r="X65" s="19"/>
    </row>
    <row r="66" spans="1:24">
      <c r="A66" s="8">
        <v>20260520</v>
      </c>
      <c r="B66" s="8" t="s">
        <v>151</v>
      </c>
      <c r="C66" s="9"/>
      <c r="D66" s="9"/>
      <c r="E66" s="9"/>
      <c r="F66" s="8" t="s">
        <v>24</v>
      </c>
      <c r="G66" s="9"/>
      <c r="H66" s="10" t="s">
        <v>25</v>
      </c>
      <c r="I66" s="11">
        <v>1503.8</v>
      </c>
      <c r="J66" s="12"/>
      <c r="K66" s="13" t="s">
        <v>139</v>
      </c>
      <c r="L66" s="13" t="s">
        <v>140</v>
      </c>
      <c r="M66" s="9"/>
      <c r="N66" s="14">
        <v>30</v>
      </c>
      <c r="O66" s="15">
        <f t="shared" si="4"/>
        <v>19098.259999999998</v>
      </c>
      <c r="P66" s="16">
        <v>12.7</v>
      </c>
      <c r="Q66" s="17">
        <f t="shared" si="5"/>
        <v>520862</v>
      </c>
      <c r="R66" s="17">
        <f t="shared" si="6"/>
        <v>52086</v>
      </c>
      <c r="S66" s="9"/>
      <c r="T66" s="18">
        <f t="shared" si="3"/>
        <v>60632.954300661644</v>
      </c>
      <c r="U66" s="19"/>
      <c r="V66" s="20"/>
      <c r="W66" s="20"/>
      <c r="X66" s="19"/>
    </row>
    <row r="67" spans="1:24">
      <c r="A67" s="8">
        <v>20260520</v>
      </c>
      <c r="B67" s="8" t="s">
        <v>151</v>
      </c>
      <c r="C67" s="9"/>
      <c r="D67" s="9"/>
      <c r="E67" s="9"/>
      <c r="F67" s="8" t="s">
        <v>24</v>
      </c>
      <c r="G67" s="9"/>
      <c r="H67" s="10" t="s">
        <v>25</v>
      </c>
      <c r="I67" s="11">
        <v>1503.8</v>
      </c>
      <c r="J67" s="12"/>
      <c r="K67" s="13" t="s">
        <v>146</v>
      </c>
      <c r="L67" s="13" t="s">
        <v>140</v>
      </c>
      <c r="M67" s="9"/>
      <c r="N67" s="14">
        <v>20</v>
      </c>
      <c r="O67" s="15">
        <f t="shared" si="4"/>
        <v>19098.259999999998</v>
      </c>
      <c r="P67" s="16">
        <v>12.7</v>
      </c>
      <c r="Q67" s="17">
        <f t="shared" si="5"/>
        <v>347241</v>
      </c>
      <c r="R67" s="17">
        <f t="shared" si="6"/>
        <v>34724</v>
      </c>
      <c r="S67" s="9"/>
      <c r="T67" s="18">
        <f t="shared" ref="T67:T130" si="7">$Y$2/12998*N67</f>
        <v>40421.969533774427</v>
      </c>
      <c r="U67" s="19"/>
      <c r="V67" s="20"/>
      <c r="W67" s="20"/>
      <c r="X67" s="19"/>
    </row>
    <row r="68" spans="1:24">
      <c r="A68" s="8">
        <v>20260520</v>
      </c>
      <c r="B68" s="8" t="s">
        <v>151</v>
      </c>
      <c r="C68" s="9"/>
      <c r="D68" s="9"/>
      <c r="E68" s="9"/>
      <c r="F68" s="8" t="s">
        <v>24</v>
      </c>
      <c r="G68" s="9"/>
      <c r="H68" s="10" t="s">
        <v>25</v>
      </c>
      <c r="I68" s="11">
        <v>1503.8</v>
      </c>
      <c r="J68" s="12"/>
      <c r="K68" s="13" t="s">
        <v>182</v>
      </c>
      <c r="L68" s="13" t="s">
        <v>140</v>
      </c>
      <c r="M68" s="9"/>
      <c r="N68" s="14">
        <v>30</v>
      </c>
      <c r="O68" s="15">
        <f t="shared" si="4"/>
        <v>19098.259999999998</v>
      </c>
      <c r="P68" s="16">
        <v>12.7</v>
      </c>
      <c r="Q68" s="17">
        <f t="shared" si="5"/>
        <v>520862</v>
      </c>
      <c r="R68" s="17">
        <f t="shared" si="6"/>
        <v>52086</v>
      </c>
      <c r="S68" s="9"/>
      <c r="T68" s="18">
        <f t="shared" si="7"/>
        <v>60632.954300661644</v>
      </c>
      <c r="U68" s="19"/>
      <c r="V68" s="20"/>
      <c r="W68" s="20"/>
      <c r="X68" s="19"/>
    </row>
    <row r="69" spans="1:24">
      <c r="A69" s="8">
        <v>20260520</v>
      </c>
      <c r="B69" s="8" t="s">
        <v>151</v>
      </c>
      <c r="C69" s="9"/>
      <c r="D69" s="9"/>
      <c r="E69" s="9"/>
      <c r="F69" s="8" t="s">
        <v>24</v>
      </c>
      <c r="G69" s="9"/>
      <c r="H69" s="10" t="s">
        <v>25</v>
      </c>
      <c r="I69" s="11">
        <v>1503.8</v>
      </c>
      <c r="J69" s="12"/>
      <c r="K69" s="13" t="s">
        <v>143</v>
      </c>
      <c r="L69" s="13" t="s">
        <v>140</v>
      </c>
      <c r="M69" s="9"/>
      <c r="N69" s="14">
        <v>10</v>
      </c>
      <c r="O69" s="15">
        <f t="shared" si="4"/>
        <v>19098.259999999998</v>
      </c>
      <c r="P69" s="16">
        <v>12.7</v>
      </c>
      <c r="Q69" s="17">
        <f t="shared" si="5"/>
        <v>173621</v>
      </c>
      <c r="R69" s="17">
        <f t="shared" si="6"/>
        <v>17362</v>
      </c>
      <c r="S69" s="9"/>
      <c r="T69" s="18">
        <f t="shared" si="7"/>
        <v>20210.984766887213</v>
      </c>
      <c r="U69" s="19"/>
      <c r="V69" s="20"/>
      <c r="W69" s="20"/>
      <c r="X69" s="19"/>
    </row>
    <row r="70" spans="1:24">
      <c r="A70" s="8">
        <v>20260520</v>
      </c>
      <c r="B70" s="8" t="s">
        <v>151</v>
      </c>
      <c r="C70" s="9"/>
      <c r="D70" s="9"/>
      <c r="E70" s="9"/>
      <c r="F70" s="8" t="s">
        <v>24</v>
      </c>
      <c r="G70" s="9"/>
      <c r="H70" s="10" t="s">
        <v>25</v>
      </c>
      <c r="I70" s="11">
        <v>1503.8</v>
      </c>
      <c r="J70" s="12"/>
      <c r="K70" s="13" t="s">
        <v>145</v>
      </c>
      <c r="L70" s="13" t="s">
        <v>140</v>
      </c>
      <c r="M70" s="9"/>
      <c r="N70" s="14">
        <v>20</v>
      </c>
      <c r="O70" s="15">
        <f t="shared" si="4"/>
        <v>19098.259999999998</v>
      </c>
      <c r="P70" s="16">
        <v>12.7</v>
      </c>
      <c r="Q70" s="17">
        <f t="shared" si="5"/>
        <v>347241</v>
      </c>
      <c r="R70" s="17">
        <f t="shared" si="6"/>
        <v>34724</v>
      </c>
      <c r="S70" s="9"/>
      <c r="T70" s="18">
        <f t="shared" si="7"/>
        <v>40421.969533774427</v>
      </c>
      <c r="U70" s="19"/>
      <c r="V70" s="20"/>
      <c r="W70" s="20"/>
      <c r="X70" s="19"/>
    </row>
    <row r="71" spans="1:24">
      <c r="A71" s="8">
        <v>20260520</v>
      </c>
      <c r="B71" s="8" t="s">
        <v>151</v>
      </c>
      <c r="C71" s="9"/>
      <c r="D71" s="9"/>
      <c r="E71" s="9"/>
      <c r="F71" s="8" t="s">
        <v>24</v>
      </c>
      <c r="G71" s="9"/>
      <c r="H71" s="10" t="s">
        <v>25</v>
      </c>
      <c r="I71" s="11">
        <v>1503.8</v>
      </c>
      <c r="J71" s="12"/>
      <c r="K71" s="13" t="s">
        <v>183</v>
      </c>
      <c r="L71" s="13" t="s">
        <v>140</v>
      </c>
      <c r="M71" s="9"/>
      <c r="N71" s="14">
        <v>36</v>
      </c>
      <c r="O71" s="15">
        <f t="shared" si="4"/>
        <v>19098.259999999998</v>
      </c>
      <c r="P71" s="16">
        <v>12.7</v>
      </c>
      <c r="Q71" s="17">
        <f t="shared" si="5"/>
        <v>625034</v>
      </c>
      <c r="R71" s="17">
        <f t="shared" si="6"/>
        <v>62503</v>
      </c>
      <c r="S71" s="9"/>
      <c r="T71" s="18">
        <f t="shared" si="7"/>
        <v>72759.545160793961</v>
      </c>
      <c r="U71" s="19"/>
      <c r="V71" s="20"/>
      <c r="W71" s="20"/>
      <c r="X71" s="19"/>
    </row>
    <row r="72" spans="1:24">
      <c r="A72" s="8">
        <v>20260520</v>
      </c>
      <c r="B72" s="8" t="s">
        <v>151</v>
      </c>
      <c r="C72" s="9"/>
      <c r="D72" s="9"/>
      <c r="E72" s="9"/>
      <c r="F72" s="8" t="s">
        <v>24</v>
      </c>
      <c r="G72" s="9"/>
      <c r="H72" s="10" t="s">
        <v>25</v>
      </c>
      <c r="I72" s="11">
        <v>1503.8</v>
      </c>
      <c r="J72" s="12"/>
      <c r="K72" s="13" t="s">
        <v>184</v>
      </c>
      <c r="L72" s="13" t="s">
        <v>140</v>
      </c>
      <c r="M72" s="9"/>
      <c r="N72" s="14">
        <v>12</v>
      </c>
      <c r="O72" s="15">
        <f t="shared" si="4"/>
        <v>19098.259999999998</v>
      </c>
      <c r="P72" s="16">
        <v>12.7</v>
      </c>
      <c r="Q72" s="17">
        <f t="shared" si="5"/>
        <v>208345</v>
      </c>
      <c r="R72" s="17">
        <f t="shared" si="6"/>
        <v>20835</v>
      </c>
      <c r="S72" s="9"/>
      <c r="T72" s="18">
        <f t="shared" si="7"/>
        <v>24253.181720264656</v>
      </c>
      <c r="U72" s="19"/>
      <c r="V72" s="20"/>
      <c r="W72" s="20"/>
      <c r="X72" s="19"/>
    </row>
    <row r="73" spans="1:24">
      <c r="A73" s="8">
        <v>20260520</v>
      </c>
      <c r="B73" s="8" t="s">
        <v>151</v>
      </c>
      <c r="C73" s="9"/>
      <c r="D73" s="9"/>
      <c r="E73" s="9"/>
      <c r="F73" s="8" t="s">
        <v>24</v>
      </c>
      <c r="G73" s="9"/>
      <c r="H73" s="10" t="s">
        <v>25</v>
      </c>
      <c r="I73" s="11">
        <v>1503.8</v>
      </c>
      <c r="J73" s="12"/>
      <c r="K73" s="13" t="s">
        <v>142</v>
      </c>
      <c r="L73" s="13" t="s">
        <v>140</v>
      </c>
      <c r="M73" s="9"/>
      <c r="N73" s="14">
        <v>72</v>
      </c>
      <c r="O73" s="15">
        <f t="shared" si="4"/>
        <v>19098.259999999998</v>
      </c>
      <c r="P73" s="16">
        <v>12.7</v>
      </c>
      <c r="Q73" s="17">
        <f t="shared" si="5"/>
        <v>1250068</v>
      </c>
      <c r="R73" s="17">
        <f t="shared" si="6"/>
        <v>125007</v>
      </c>
      <c r="S73" s="9"/>
      <c r="T73" s="18">
        <f t="shared" si="7"/>
        <v>145519.09032158792</v>
      </c>
      <c r="U73" s="19"/>
      <c r="V73" s="20"/>
      <c r="W73" s="20"/>
      <c r="X73" s="19"/>
    </row>
    <row r="74" spans="1:24">
      <c r="A74" s="8">
        <v>20260520</v>
      </c>
      <c r="B74" s="8" t="s">
        <v>151</v>
      </c>
      <c r="C74" s="9"/>
      <c r="D74" s="9"/>
      <c r="E74" s="9"/>
      <c r="F74" s="8" t="s">
        <v>24</v>
      </c>
      <c r="G74" s="9"/>
      <c r="H74" s="10" t="s">
        <v>25</v>
      </c>
      <c r="I74" s="11">
        <v>1503.8</v>
      </c>
      <c r="J74" s="12"/>
      <c r="K74" s="13" t="s">
        <v>62</v>
      </c>
      <c r="L74" s="13" t="s">
        <v>59</v>
      </c>
      <c r="M74" s="9"/>
      <c r="N74" s="14">
        <v>90</v>
      </c>
      <c r="O74" s="15">
        <f t="shared" si="4"/>
        <v>20000.54</v>
      </c>
      <c r="P74" s="16">
        <v>13.3</v>
      </c>
      <c r="Q74" s="17">
        <f t="shared" si="5"/>
        <v>1636408</v>
      </c>
      <c r="R74" s="17">
        <f t="shared" si="6"/>
        <v>163641</v>
      </c>
      <c r="S74" s="9"/>
      <c r="T74" s="18">
        <f t="shared" si="7"/>
        <v>181898.86290198492</v>
      </c>
      <c r="U74" s="19"/>
      <c r="V74" s="20"/>
      <c r="W74" s="20"/>
      <c r="X74" s="19"/>
    </row>
    <row r="75" spans="1:24">
      <c r="A75" s="8">
        <v>20260520</v>
      </c>
      <c r="B75" s="8" t="s">
        <v>151</v>
      </c>
      <c r="C75" s="9"/>
      <c r="D75" s="9"/>
      <c r="E75" s="9"/>
      <c r="F75" s="8" t="s">
        <v>24</v>
      </c>
      <c r="G75" s="9"/>
      <c r="H75" s="10" t="s">
        <v>25</v>
      </c>
      <c r="I75" s="11">
        <v>1503.8</v>
      </c>
      <c r="J75" s="12"/>
      <c r="K75" s="13" t="s">
        <v>63</v>
      </c>
      <c r="L75" s="13" t="s">
        <v>59</v>
      </c>
      <c r="M75" s="9"/>
      <c r="N75" s="14">
        <v>12</v>
      </c>
      <c r="O75" s="15">
        <f t="shared" si="4"/>
        <v>20000.54</v>
      </c>
      <c r="P75" s="16">
        <v>13.3</v>
      </c>
      <c r="Q75" s="17">
        <f t="shared" si="5"/>
        <v>218188</v>
      </c>
      <c r="R75" s="17">
        <f t="shared" si="6"/>
        <v>21819</v>
      </c>
      <c r="S75" s="9"/>
      <c r="T75" s="18">
        <f t="shared" si="7"/>
        <v>24253.181720264656</v>
      </c>
      <c r="U75" s="19"/>
      <c r="V75" s="20"/>
      <c r="W75" s="20"/>
      <c r="X75" s="19"/>
    </row>
    <row r="76" spans="1:24">
      <c r="A76" s="8">
        <v>20260520</v>
      </c>
      <c r="B76" s="8" t="s">
        <v>151</v>
      </c>
      <c r="C76" s="9"/>
      <c r="D76" s="9"/>
      <c r="E76" s="9"/>
      <c r="F76" s="8" t="s">
        <v>24</v>
      </c>
      <c r="G76" s="9"/>
      <c r="H76" s="10" t="s">
        <v>25</v>
      </c>
      <c r="I76" s="11">
        <v>1503.8</v>
      </c>
      <c r="J76" s="12"/>
      <c r="K76" s="13" t="s">
        <v>185</v>
      </c>
      <c r="L76" s="13" t="s">
        <v>59</v>
      </c>
      <c r="M76" s="9"/>
      <c r="N76" s="14">
        <v>12</v>
      </c>
      <c r="O76" s="15">
        <f t="shared" si="4"/>
        <v>20000.54</v>
      </c>
      <c r="P76" s="16">
        <v>13.3</v>
      </c>
      <c r="Q76" s="17">
        <f t="shared" si="5"/>
        <v>218188</v>
      </c>
      <c r="R76" s="17">
        <f t="shared" si="6"/>
        <v>21819</v>
      </c>
      <c r="S76" s="9"/>
      <c r="T76" s="18">
        <f t="shared" si="7"/>
        <v>24253.181720264656</v>
      </c>
      <c r="U76" s="19"/>
      <c r="V76" s="20"/>
      <c r="W76" s="20"/>
      <c r="X76" s="19"/>
    </row>
    <row r="77" spans="1:24">
      <c r="A77" s="8">
        <v>20260520</v>
      </c>
      <c r="B77" s="8" t="s">
        <v>151</v>
      </c>
      <c r="C77" s="9"/>
      <c r="D77" s="9"/>
      <c r="E77" s="9"/>
      <c r="F77" s="8" t="s">
        <v>24</v>
      </c>
      <c r="G77" s="9"/>
      <c r="H77" s="10" t="s">
        <v>25</v>
      </c>
      <c r="I77" s="11">
        <v>1503.8</v>
      </c>
      <c r="J77" s="12"/>
      <c r="K77" s="13" t="s">
        <v>147</v>
      </c>
      <c r="L77" s="13" t="s">
        <v>59</v>
      </c>
      <c r="M77" s="9"/>
      <c r="N77" s="14">
        <v>12</v>
      </c>
      <c r="O77" s="15">
        <f t="shared" si="4"/>
        <v>20000.54</v>
      </c>
      <c r="P77" s="16">
        <v>13.3</v>
      </c>
      <c r="Q77" s="17">
        <f t="shared" si="5"/>
        <v>218188</v>
      </c>
      <c r="R77" s="17">
        <f t="shared" si="6"/>
        <v>21819</v>
      </c>
      <c r="S77" s="9"/>
      <c r="T77" s="18">
        <f t="shared" si="7"/>
        <v>24253.181720264656</v>
      </c>
      <c r="U77" s="19"/>
      <c r="V77" s="20"/>
      <c r="W77" s="20"/>
      <c r="X77" s="19"/>
    </row>
    <row r="78" spans="1:24">
      <c r="A78" s="8">
        <v>20260520</v>
      </c>
      <c r="B78" s="8" t="s">
        <v>151</v>
      </c>
      <c r="C78" s="9"/>
      <c r="D78" s="9"/>
      <c r="E78" s="9"/>
      <c r="F78" s="8" t="s">
        <v>24</v>
      </c>
      <c r="G78" s="9"/>
      <c r="H78" s="10" t="s">
        <v>25</v>
      </c>
      <c r="I78" s="11">
        <v>1503.8</v>
      </c>
      <c r="J78" s="12"/>
      <c r="K78" s="13" t="s">
        <v>186</v>
      </c>
      <c r="L78" s="13" t="s">
        <v>59</v>
      </c>
      <c r="M78" s="9"/>
      <c r="N78" s="14">
        <v>24</v>
      </c>
      <c r="O78" s="15">
        <f t="shared" si="4"/>
        <v>20000.54</v>
      </c>
      <c r="P78" s="16">
        <v>13.3</v>
      </c>
      <c r="Q78" s="17">
        <f t="shared" si="5"/>
        <v>436375</v>
      </c>
      <c r="R78" s="17">
        <f t="shared" si="6"/>
        <v>43638</v>
      </c>
      <c r="S78" s="9"/>
      <c r="T78" s="18">
        <f t="shared" si="7"/>
        <v>48506.363440529312</v>
      </c>
      <c r="U78" s="19"/>
      <c r="V78" s="20"/>
      <c r="W78" s="20"/>
      <c r="X78" s="19"/>
    </row>
    <row r="79" spans="1:24">
      <c r="A79" s="8">
        <v>20260520</v>
      </c>
      <c r="B79" s="8" t="s">
        <v>151</v>
      </c>
      <c r="C79" s="9"/>
      <c r="D79" s="9"/>
      <c r="E79" s="9"/>
      <c r="F79" s="8" t="s">
        <v>24</v>
      </c>
      <c r="G79" s="9"/>
      <c r="H79" s="10" t="s">
        <v>25</v>
      </c>
      <c r="I79" s="11">
        <v>1503.8</v>
      </c>
      <c r="J79" s="12"/>
      <c r="K79" s="13" t="s">
        <v>64</v>
      </c>
      <c r="L79" s="13" t="s">
        <v>59</v>
      </c>
      <c r="M79" s="9"/>
      <c r="N79" s="14">
        <v>24</v>
      </c>
      <c r="O79" s="15">
        <f t="shared" si="4"/>
        <v>20000.54</v>
      </c>
      <c r="P79" s="16">
        <v>13.3</v>
      </c>
      <c r="Q79" s="17">
        <f t="shared" si="5"/>
        <v>436375</v>
      </c>
      <c r="R79" s="17">
        <f t="shared" si="6"/>
        <v>43638</v>
      </c>
      <c r="S79" s="9"/>
      <c r="T79" s="18">
        <f t="shared" si="7"/>
        <v>48506.363440529312</v>
      </c>
      <c r="U79" s="19"/>
      <c r="V79" s="20"/>
      <c r="W79" s="20"/>
      <c r="X79" s="19"/>
    </row>
    <row r="80" spans="1:24">
      <c r="A80" s="8">
        <v>20260520</v>
      </c>
      <c r="B80" s="8" t="s">
        <v>151</v>
      </c>
      <c r="C80" s="9"/>
      <c r="D80" s="9"/>
      <c r="E80" s="9"/>
      <c r="F80" s="8" t="s">
        <v>24</v>
      </c>
      <c r="G80" s="9"/>
      <c r="H80" s="10" t="s">
        <v>25</v>
      </c>
      <c r="I80" s="11">
        <v>1503.8</v>
      </c>
      <c r="J80" s="12"/>
      <c r="K80" s="13" t="s">
        <v>187</v>
      </c>
      <c r="L80" s="13" t="s">
        <v>59</v>
      </c>
      <c r="M80" s="9"/>
      <c r="N80" s="14">
        <v>12</v>
      </c>
      <c r="O80" s="15">
        <f t="shared" si="4"/>
        <v>20000.54</v>
      </c>
      <c r="P80" s="16">
        <v>13.3</v>
      </c>
      <c r="Q80" s="17">
        <f t="shared" si="5"/>
        <v>218188</v>
      </c>
      <c r="R80" s="17">
        <f t="shared" si="6"/>
        <v>21819</v>
      </c>
      <c r="S80" s="9"/>
      <c r="T80" s="18">
        <f t="shared" si="7"/>
        <v>24253.181720264656</v>
      </c>
      <c r="U80" s="19"/>
      <c r="V80" s="20"/>
      <c r="W80" s="20"/>
      <c r="X80" s="19"/>
    </row>
    <row r="81" spans="1:24">
      <c r="A81" s="8">
        <v>20260520</v>
      </c>
      <c r="B81" s="8" t="s">
        <v>151</v>
      </c>
      <c r="C81" s="9"/>
      <c r="D81" s="9"/>
      <c r="E81" s="9"/>
      <c r="F81" s="8" t="s">
        <v>24</v>
      </c>
      <c r="G81" s="9"/>
      <c r="H81" s="10" t="s">
        <v>25</v>
      </c>
      <c r="I81" s="11">
        <v>1503.8</v>
      </c>
      <c r="J81" s="12"/>
      <c r="K81" s="13" t="s">
        <v>148</v>
      </c>
      <c r="L81" s="13" t="s">
        <v>59</v>
      </c>
      <c r="M81" s="9"/>
      <c r="N81" s="14">
        <v>30</v>
      </c>
      <c r="O81" s="15">
        <f t="shared" si="4"/>
        <v>20000.54</v>
      </c>
      <c r="P81" s="16">
        <v>13.3</v>
      </c>
      <c r="Q81" s="17">
        <f t="shared" si="5"/>
        <v>545469</v>
      </c>
      <c r="R81" s="17">
        <f t="shared" si="6"/>
        <v>54547</v>
      </c>
      <c r="S81" s="9"/>
      <c r="T81" s="18">
        <f t="shared" si="7"/>
        <v>60632.954300661644</v>
      </c>
      <c r="U81" s="19"/>
      <c r="V81" s="20"/>
      <c r="W81" s="20"/>
      <c r="X81" s="19"/>
    </row>
    <row r="82" spans="1:24">
      <c r="A82" s="8">
        <v>20260520</v>
      </c>
      <c r="B82" s="8" t="s">
        <v>151</v>
      </c>
      <c r="C82" s="9"/>
      <c r="D82" s="9"/>
      <c r="E82" s="9"/>
      <c r="F82" s="8" t="s">
        <v>24</v>
      </c>
      <c r="G82" s="9"/>
      <c r="H82" s="10" t="s">
        <v>25</v>
      </c>
      <c r="I82" s="11">
        <v>1503.8</v>
      </c>
      <c r="J82" s="12"/>
      <c r="K82" s="13" t="s">
        <v>188</v>
      </c>
      <c r="L82" s="13" t="s">
        <v>59</v>
      </c>
      <c r="M82" s="9"/>
      <c r="N82" s="14">
        <v>20</v>
      </c>
      <c r="O82" s="15">
        <f t="shared" si="4"/>
        <v>20000.54</v>
      </c>
      <c r="P82" s="16">
        <v>13.3</v>
      </c>
      <c r="Q82" s="17">
        <f t="shared" si="5"/>
        <v>363646</v>
      </c>
      <c r="R82" s="17">
        <f t="shared" si="6"/>
        <v>36365</v>
      </c>
      <c r="S82" s="9"/>
      <c r="T82" s="18">
        <f t="shared" si="7"/>
        <v>40421.969533774427</v>
      </c>
      <c r="U82" s="19"/>
      <c r="V82" s="20"/>
      <c r="W82" s="20"/>
      <c r="X82" s="19"/>
    </row>
    <row r="83" spans="1:24">
      <c r="A83" s="8">
        <v>20260520</v>
      </c>
      <c r="B83" s="8" t="s">
        <v>151</v>
      </c>
      <c r="C83" s="9"/>
      <c r="D83" s="9"/>
      <c r="E83" s="9"/>
      <c r="F83" s="8" t="s">
        <v>24</v>
      </c>
      <c r="G83" s="9"/>
      <c r="H83" s="10" t="s">
        <v>25</v>
      </c>
      <c r="I83" s="11">
        <v>1503.8</v>
      </c>
      <c r="J83" s="12"/>
      <c r="K83" s="13" t="s">
        <v>189</v>
      </c>
      <c r="L83" s="13" t="s">
        <v>59</v>
      </c>
      <c r="M83" s="9"/>
      <c r="N83" s="14">
        <v>20</v>
      </c>
      <c r="O83" s="15">
        <f t="shared" si="4"/>
        <v>20000.54</v>
      </c>
      <c r="P83" s="16">
        <v>13.3</v>
      </c>
      <c r="Q83" s="17">
        <f t="shared" si="5"/>
        <v>363646</v>
      </c>
      <c r="R83" s="17">
        <f t="shared" si="6"/>
        <v>36365</v>
      </c>
      <c r="S83" s="9"/>
      <c r="T83" s="18">
        <f t="shared" si="7"/>
        <v>40421.969533774427</v>
      </c>
      <c r="U83" s="19"/>
      <c r="V83" s="20"/>
      <c r="W83" s="20"/>
      <c r="X83" s="19"/>
    </row>
    <row r="84" spans="1:24">
      <c r="A84" s="8">
        <v>20260520</v>
      </c>
      <c r="B84" s="8" t="s">
        <v>151</v>
      </c>
      <c r="C84" s="9"/>
      <c r="D84" s="9"/>
      <c r="E84" s="9"/>
      <c r="F84" s="8" t="s">
        <v>24</v>
      </c>
      <c r="G84" s="9"/>
      <c r="H84" s="10" t="s">
        <v>25</v>
      </c>
      <c r="I84" s="11">
        <v>1503.8</v>
      </c>
      <c r="J84" s="12"/>
      <c r="K84" s="13" t="s">
        <v>190</v>
      </c>
      <c r="L84" s="13" t="s">
        <v>59</v>
      </c>
      <c r="M84" s="9"/>
      <c r="N84" s="14">
        <v>30</v>
      </c>
      <c r="O84" s="15">
        <f t="shared" si="4"/>
        <v>20000.54</v>
      </c>
      <c r="P84" s="16">
        <v>13.3</v>
      </c>
      <c r="Q84" s="17">
        <f t="shared" si="5"/>
        <v>545469</v>
      </c>
      <c r="R84" s="17">
        <f t="shared" si="6"/>
        <v>54547</v>
      </c>
      <c r="S84" s="9"/>
      <c r="T84" s="18">
        <f t="shared" si="7"/>
        <v>60632.954300661644</v>
      </c>
      <c r="U84" s="19"/>
      <c r="V84" s="20"/>
      <c r="W84" s="20"/>
      <c r="X84" s="19"/>
    </row>
    <row r="85" spans="1:24">
      <c r="A85" s="8">
        <v>20260520</v>
      </c>
      <c r="B85" s="8" t="s">
        <v>151</v>
      </c>
      <c r="C85" s="9"/>
      <c r="D85" s="9"/>
      <c r="E85" s="9"/>
      <c r="F85" s="8" t="s">
        <v>24</v>
      </c>
      <c r="G85" s="9"/>
      <c r="H85" s="10" t="s">
        <v>25</v>
      </c>
      <c r="I85" s="11">
        <v>1503.8</v>
      </c>
      <c r="J85" s="12"/>
      <c r="K85" s="13" t="s">
        <v>58</v>
      </c>
      <c r="L85" s="13" t="s">
        <v>59</v>
      </c>
      <c r="M85" s="9"/>
      <c r="N85" s="14">
        <v>12</v>
      </c>
      <c r="O85" s="15">
        <f t="shared" si="4"/>
        <v>20000.54</v>
      </c>
      <c r="P85" s="16">
        <v>13.3</v>
      </c>
      <c r="Q85" s="17">
        <f t="shared" si="5"/>
        <v>218188</v>
      </c>
      <c r="R85" s="17">
        <f t="shared" si="6"/>
        <v>21819</v>
      </c>
      <c r="S85" s="9"/>
      <c r="T85" s="18">
        <f t="shared" si="7"/>
        <v>24253.181720264656</v>
      </c>
      <c r="U85" s="19"/>
      <c r="V85" s="20"/>
      <c r="W85" s="20"/>
      <c r="X85" s="19"/>
    </row>
    <row r="86" spans="1:24">
      <c r="A86" s="8">
        <v>20260520</v>
      </c>
      <c r="B86" s="8" t="s">
        <v>151</v>
      </c>
      <c r="C86" s="9"/>
      <c r="D86" s="9"/>
      <c r="E86" s="9"/>
      <c r="F86" s="8" t="s">
        <v>24</v>
      </c>
      <c r="G86" s="9"/>
      <c r="H86" s="10" t="s">
        <v>25</v>
      </c>
      <c r="I86" s="11">
        <v>1503.8</v>
      </c>
      <c r="J86" s="12"/>
      <c r="K86" s="13" t="s">
        <v>60</v>
      </c>
      <c r="L86" s="13" t="s">
        <v>59</v>
      </c>
      <c r="M86" s="9"/>
      <c r="N86" s="14">
        <v>30</v>
      </c>
      <c r="O86" s="15">
        <f t="shared" si="4"/>
        <v>20000.54</v>
      </c>
      <c r="P86" s="16">
        <v>13.3</v>
      </c>
      <c r="Q86" s="17">
        <f t="shared" si="5"/>
        <v>545469</v>
      </c>
      <c r="R86" s="17">
        <f t="shared" si="6"/>
        <v>54547</v>
      </c>
      <c r="S86" s="9"/>
      <c r="T86" s="18">
        <f t="shared" si="7"/>
        <v>60632.954300661644</v>
      </c>
      <c r="U86" s="19"/>
      <c r="V86" s="20"/>
      <c r="W86" s="20"/>
      <c r="X86" s="19"/>
    </row>
    <row r="87" spans="1:24">
      <c r="A87" s="8">
        <v>20260520</v>
      </c>
      <c r="B87" s="8" t="s">
        <v>151</v>
      </c>
      <c r="C87" s="9"/>
      <c r="D87" s="9"/>
      <c r="E87" s="9"/>
      <c r="F87" s="8" t="s">
        <v>24</v>
      </c>
      <c r="G87" s="9"/>
      <c r="H87" s="10" t="s">
        <v>25</v>
      </c>
      <c r="I87" s="11">
        <v>1503.8</v>
      </c>
      <c r="J87" s="12"/>
      <c r="K87" s="13" t="s">
        <v>191</v>
      </c>
      <c r="L87" s="13" t="s">
        <v>59</v>
      </c>
      <c r="M87" s="9"/>
      <c r="N87" s="14">
        <v>20</v>
      </c>
      <c r="O87" s="15">
        <f t="shared" si="4"/>
        <v>20000.54</v>
      </c>
      <c r="P87" s="16">
        <v>13.3</v>
      </c>
      <c r="Q87" s="17">
        <f t="shared" si="5"/>
        <v>363646</v>
      </c>
      <c r="R87" s="17">
        <f t="shared" si="6"/>
        <v>36365</v>
      </c>
      <c r="S87" s="9"/>
      <c r="T87" s="18">
        <f t="shared" si="7"/>
        <v>40421.969533774427</v>
      </c>
      <c r="U87" s="19"/>
      <c r="V87" s="20"/>
      <c r="W87" s="20"/>
      <c r="X87" s="19"/>
    </row>
    <row r="88" spans="1:24">
      <c r="A88" s="8">
        <v>20260520</v>
      </c>
      <c r="B88" s="8" t="s">
        <v>151</v>
      </c>
      <c r="C88" s="9"/>
      <c r="D88" s="9"/>
      <c r="E88" s="9"/>
      <c r="F88" s="8" t="s">
        <v>24</v>
      </c>
      <c r="G88" s="9"/>
      <c r="H88" s="10" t="s">
        <v>25</v>
      </c>
      <c r="I88" s="11">
        <v>1503.8</v>
      </c>
      <c r="J88" s="12"/>
      <c r="K88" s="13" t="s">
        <v>192</v>
      </c>
      <c r="L88" s="13" t="s">
        <v>59</v>
      </c>
      <c r="M88" s="9"/>
      <c r="N88" s="14">
        <v>20</v>
      </c>
      <c r="O88" s="15">
        <f t="shared" si="4"/>
        <v>20000.54</v>
      </c>
      <c r="P88" s="16">
        <v>13.3</v>
      </c>
      <c r="Q88" s="17">
        <f t="shared" si="5"/>
        <v>363646</v>
      </c>
      <c r="R88" s="17">
        <f t="shared" si="6"/>
        <v>36365</v>
      </c>
      <c r="S88" s="9"/>
      <c r="T88" s="18">
        <f t="shared" si="7"/>
        <v>40421.969533774427</v>
      </c>
      <c r="U88" s="19"/>
      <c r="V88" s="20"/>
      <c r="W88" s="20"/>
      <c r="X88" s="19"/>
    </row>
    <row r="89" spans="1:24">
      <c r="A89" s="8">
        <v>20260520</v>
      </c>
      <c r="B89" s="8" t="s">
        <v>151</v>
      </c>
      <c r="C89" s="9"/>
      <c r="D89" s="9"/>
      <c r="E89" s="9"/>
      <c r="F89" s="8" t="s">
        <v>24</v>
      </c>
      <c r="G89" s="9"/>
      <c r="H89" s="10" t="s">
        <v>25</v>
      </c>
      <c r="I89" s="11">
        <v>1503.8</v>
      </c>
      <c r="J89" s="12"/>
      <c r="K89" s="13" t="s">
        <v>61</v>
      </c>
      <c r="L89" s="13" t="s">
        <v>59</v>
      </c>
      <c r="M89" s="9"/>
      <c r="N89" s="14">
        <v>24</v>
      </c>
      <c r="O89" s="15">
        <f t="shared" si="4"/>
        <v>20000.54</v>
      </c>
      <c r="P89" s="16">
        <v>13.3</v>
      </c>
      <c r="Q89" s="17">
        <f t="shared" si="5"/>
        <v>436375</v>
      </c>
      <c r="R89" s="17">
        <f t="shared" si="6"/>
        <v>43638</v>
      </c>
      <c r="S89" s="9"/>
      <c r="T89" s="18">
        <f t="shared" si="7"/>
        <v>48506.363440529312</v>
      </c>
      <c r="U89" s="19"/>
      <c r="V89" s="20"/>
      <c r="W89" s="20"/>
      <c r="X89" s="19"/>
    </row>
    <row r="90" spans="1:24">
      <c r="A90" s="8">
        <v>20260520</v>
      </c>
      <c r="B90" s="8" t="s">
        <v>151</v>
      </c>
      <c r="C90" s="9"/>
      <c r="D90" s="9"/>
      <c r="E90" s="9"/>
      <c r="F90" s="8" t="s">
        <v>24</v>
      </c>
      <c r="G90" s="9"/>
      <c r="H90" s="10" t="s">
        <v>25</v>
      </c>
      <c r="I90" s="11">
        <v>1503.8</v>
      </c>
      <c r="J90" s="12"/>
      <c r="K90" s="13" t="s">
        <v>193</v>
      </c>
      <c r="L90" s="13" t="s">
        <v>66</v>
      </c>
      <c r="M90" s="9"/>
      <c r="N90" s="14">
        <v>160</v>
      </c>
      <c r="O90" s="15">
        <f t="shared" si="4"/>
        <v>9699.51</v>
      </c>
      <c r="P90" s="16">
        <v>6.45</v>
      </c>
      <c r="Q90" s="17">
        <f t="shared" si="5"/>
        <v>1410838</v>
      </c>
      <c r="R90" s="17">
        <f t="shared" si="6"/>
        <v>141084</v>
      </c>
      <c r="S90" s="9"/>
      <c r="T90" s="18">
        <f t="shared" si="7"/>
        <v>323375.75627019542</v>
      </c>
      <c r="U90" s="19"/>
      <c r="V90" s="20"/>
      <c r="W90" s="20"/>
      <c r="X90" s="19"/>
    </row>
    <row r="91" spans="1:24">
      <c r="A91" s="8">
        <v>20260520</v>
      </c>
      <c r="B91" s="8" t="s">
        <v>151</v>
      </c>
      <c r="C91" s="9"/>
      <c r="D91" s="9"/>
      <c r="E91" s="9"/>
      <c r="F91" s="8" t="s">
        <v>24</v>
      </c>
      <c r="G91" s="9"/>
      <c r="H91" s="10" t="s">
        <v>25</v>
      </c>
      <c r="I91" s="11">
        <v>1503.8</v>
      </c>
      <c r="J91" s="12"/>
      <c r="K91" s="13" t="s">
        <v>194</v>
      </c>
      <c r="L91" s="13" t="s">
        <v>66</v>
      </c>
      <c r="M91" s="9"/>
      <c r="N91" s="14">
        <v>80</v>
      </c>
      <c r="O91" s="15">
        <f t="shared" si="4"/>
        <v>9699.51</v>
      </c>
      <c r="P91" s="16">
        <v>6.45</v>
      </c>
      <c r="Q91" s="17">
        <f t="shared" si="5"/>
        <v>705419</v>
      </c>
      <c r="R91" s="17">
        <f t="shared" si="6"/>
        <v>70542</v>
      </c>
      <c r="S91" s="9"/>
      <c r="T91" s="18">
        <f t="shared" si="7"/>
        <v>161687.87813509771</v>
      </c>
      <c r="U91" s="19"/>
      <c r="V91" s="20"/>
      <c r="W91" s="20"/>
      <c r="X91" s="19"/>
    </row>
    <row r="92" spans="1:24">
      <c r="A92" s="8">
        <v>20260520</v>
      </c>
      <c r="B92" s="8" t="s">
        <v>151</v>
      </c>
      <c r="C92" s="9"/>
      <c r="D92" s="9"/>
      <c r="E92" s="9"/>
      <c r="F92" s="8" t="s">
        <v>24</v>
      </c>
      <c r="G92" s="9"/>
      <c r="H92" s="10" t="s">
        <v>25</v>
      </c>
      <c r="I92" s="11">
        <v>1503.8</v>
      </c>
      <c r="J92" s="12"/>
      <c r="K92" s="13" t="s">
        <v>68</v>
      </c>
      <c r="L92" s="13" t="s">
        <v>66</v>
      </c>
      <c r="M92" s="9"/>
      <c r="N92" s="14">
        <v>192</v>
      </c>
      <c r="O92" s="15">
        <f t="shared" si="4"/>
        <v>9699.51</v>
      </c>
      <c r="P92" s="16">
        <v>6.45</v>
      </c>
      <c r="Q92" s="17">
        <f t="shared" si="5"/>
        <v>1693005</v>
      </c>
      <c r="R92" s="17">
        <f t="shared" si="6"/>
        <v>169301</v>
      </c>
      <c r="S92" s="9"/>
      <c r="T92" s="18">
        <f t="shared" si="7"/>
        <v>388050.9075242345</v>
      </c>
      <c r="U92" s="19"/>
      <c r="V92" s="20"/>
      <c r="W92" s="20"/>
      <c r="X92" s="19"/>
    </row>
    <row r="93" spans="1:24">
      <c r="A93" s="8">
        <v>20260520</v>
      </c>
      <c r="B93" s="8" t="s">
        <v>151</v>
      </c>
      <c r="C93" s="9"/>
      <c r="D93" s="9"/>
      <c r="E93" s="9"/>
      <c r="F93" s="8" t="s">
        <v>24</v>
      </c>
      <c r="G93" s="9"/>
      <c r="H93" s="10" t="s">
        <v>25</v>
      </c>
      <c r="I93" s="11">
        <v>1503.8</v>
      </c>
      <c r="J93" s="12"/>
      <c r="K93" s="13" t="s">
        <v>195</v>
      </c>
      <c r="L93" s="13" t="s">
        <v>66</v>
      </c>
      <c r="M93" s="9"/>
      <c r="N93" s="14">
        <v>112</v>
      </c>
      <c r="O93" s="15">
        <f t="shared" si="4"/>
        <v>9699.51</v>
      </c>
      <c r="P93" s="16">
        <v>6.45</v>
      </c>
      <c r="Q93" s="17">
        <f t="shared" si="5"/>
        <v>987586</v>
      </c>
      <c r="R93" s="17">
        <f t="shared" si="6"/>
        <v>98759</v>
      </c>
      <c r="S93" s="9"/>
      <c r="T93" s="18">
        <f t="shared" si="7"/>
        <v>226363.02938913679</v>
      </c>
      <c r="U93" s="19"/>
      <c r="V93" s="20"/>
      <c r="W93" s="20"/>
      <c r="X93" s="19"/>
    </row>
    <row r="94" spans="1:24">
      <c r="A94" s="8">
        <v>20260520</v>
      </c>
      <c r="B94" s="8" t="s">
        <v>151</v>
      </c>
      <c r="C94" s="9"/>
      <c r="D94" s="9"/>
      <c r="E94" s="9"/>
      <c r="F94" s="8" t="s">
        <v>24</v>
      </c>
      <c r="G94" s="9"/>
      <c r="H94" s="10" t="s">
        <v>25</v>
      </c>
      <c r="I94" s="11">
        <v>1503.8</v>
      </c>
      <c r="J94" s="12"/>
      <c r="K94" s="13" t="s">
        <v>65</v>
      </c>
      <c r="L94" s="13" t="s">
        <v>66</v>
      </c>
      <c r="M94" s="9"/>
      <c r="N94" s="14">
        <v>256</v>
      </c>
      <c r="O94" s="15">
        <f t="shared" ref="O94:O157" si="8">P94*I94</f>
        <v>9699.51</v>
      </c>
      <c r="P94" s="16">
        <v>6.45</v>
      </c>
      <c r="Q94" s="17">
        <f t="shared" ref="Q94:Q157" si="9">ROUND(O94*N94/1.1,0)</f>
        <v>2257341</v>
      </c>
      <c r="R94" s="17">
        <f t="shared" ref="R94:R157" si="10">ROUND(Q94*0.1,0)</f>
        <v>225734</v>
      </c>
      <c r="S94" s="9"/>
      <c r="T94" s="18">
        <f t="shared" si="7"/>
        <v>517401.21003231267</v>
      </c>
      <c r="U94" s="19"/>
      <c r="V94" s="20"/>
      <c r="W94" s="20"/>
      <c r="X94" s="19"/>
    </row>
    <row r="95" spans="1:24">
      <c r="A95" s="8">
        <v>20260520</v>
      </c>
      <c r="B95" s="8" t="s">
        <v>151</v>
      </c>
      <c r="C95" s="9"/>
      <c r="D95" s="9"/>
      <c r="E95" s="9"/>
      <c r="F95" s="8" t="s">
        <v>24</v>
      </c>
      <c r="G95" s="9"/>
      <c r="H95" s="10" t="s">
        <v>25</v>
      </c>
      <c r="I95" s="11">
        <v>1503.8</v>
      </c>
      <c r="J95" s="12"/>
      <c r="K95" s="13" t="s">
        <v>196</v>
      </c>
      <c r="L95" s="13" t="s">
        <v>66</v>
      </c>
      <c r="M95" s="9"/>
      <c r="N95" s="14">
        <v>96</v>
      </c>
      <c r="O95" s="15">
        <f t="shared" si="8"/>
        <v>9699.51</v>
      </c>
      <c r="P95" s="16">
        <v>6.45</v>
      </c>
      <c r="Q95" s="17">
        <f t="shared" si="9"/>
        <v>846503</v>
      </c>
      <c r="R95" s="17">
        <f t="shared" si="10"/>
        <v>84650</v>
      </c>
      <c r="S95" s="9"/>
      <c r="T95" s="18">
        <f t="shared" si="7"/>
        <v>194025.45376211725</v>
      </c>
      <c r="U95" s="19"/>
      <c r="V95" s="20"/>
      <c r="W95" s="20"/>
      <c r="X95" s="19"/>
    </row>
    <row r="96" spans="1:24">
      <c r="A96" s="8">
        <v>20260520</v>
      </c>
      <c r="B96" s="8" t="s">
        <v>151</v>
      </c>
      <c r="C96" s="9"/>
      <c r="D96" s="9"/>
      <c r="E96" s="9"/>
      <c r="F96" s="8" t="s">
        <v>24</v>
      </c>
      <c r="G96" s="9"/>
      <c r="H96" s="10" t="s">
        <v>25</v>
      </c>
      <c r="I96" s="11">
        <v>1503.8</v>
      </c>
      <c r="J96" s="12"/>
      <c r="K96" s="13" t="s">
        <v>197</v>
      </c>
      <c r="L96" s="13" t="s">
        <v>66</v>
      </c>
      <c r="M96" s="9"/>
      <c r="N96" s="14">
        <v>80</v>
      </c>
      <c r="O96" s="15">
        <f t="shared" si="8"/>
        <v>9699.51</v>
      </c>
      <c r="P96" s="16">
        <v>6.45</v>
      </c>
      <c r="Q96" s="17">
        <f t="shared" si="9"/>
        <v>705419</v>
      </c>
      <c r="R96" s="17">
        <f t="shared" si="10"/>
        <v>70542</v>
      </c>
      <c r="S96" s="9"/>
      <c r="T96" s="18">
        <f t="shared" si="7"/>
        <v>161687.87813509771</v>
      </c>
      <c r="U96" s="19"/>
      <c r="V96" s="20"/>
      <c r="W96" s="20"/>
      <c r="X96" s="19"/>
    </row>
    <row r="97" spans="1:24">
      <c r="A97" s="8">
        <v>20260520</v>
      </c>
      <c r="B97" s="8" t="s">
        <v>151</v>
      </c>
      <c r="C97" s="9"/>
      <c r="D97" s="9"/>
      <c r="E97" s="9"/>
      <c r="F97" s="8" t="s">
        <v>24</v>
      </c>
      <c r="G97" s="9"/>
      <c r="H97" s="10" t="s">
        <v>25</v>
      </c>
      <c r="I97" s="11">
        <v>1503.8</v>
      </c>
      <c r="J97" s="12"/>
      <c r="K97" s="13" t="s">
        <v>198</v>
      </c>
      <c r="L97" s="13" t="s">
        <v>66</v>
      </c>
      <c r="M97" s="9"/>
      <c r="N97" s="14">
        <v>160</v>
      </c>
      <c r="O97" s="15">
        <f t="shared" si="8"/>
        <v>9699.51</v>
      </c>
      <c r="P97" s="16">
        <v>6.45</v>
      </c>
      <c r="Q97" s="17">
        <f t="shared" si="9"/>
        <v>1410838</v>
      </c>
      <c r="R97" s="17">
        <f t="shared" si="10"/>
        <v>141084</v>
      </c>
      <c r="S97" s="9"/>
      <c r="T97" s="18">
        <f t="shared" si="7"/>
        <v>323375.75627019542</v>
      </c>
      <c r="U97" s="19"/>
      <c r="V97" s="20"/>
      <c r="W97" s="20"/>
      <c r="X97" s="19"/>
    </row>
    <row r="98" spans="1:24">
      <c r="A98" s="8">
        <v>20260520</v>
      </c>
      <c r="B98" s="8" t="s">
        <v>151</v>
      </c>
      <c r="C98" s="9"/>
      <c r="D98" s="9"/>
      <c r="E98" s="9"/>
      <c r="F98" s="8" t="s">
        <v>24</v>
      </c>
      <c r="G98" s="9"/>
      <c r="H98" s="10" t="s">
        <v>25</v>
      </c>
      <c r="I98" s="11">
        <v>1503.8</v>
      </c>
      <c r="J98" s="12"/>
      <c r="K98" s="13" t="s">
        <v>199</v>
      </c>
      <c r="L98" s="13" t="s">
        <v>66</v>
      </c>
      <c r="M98" s="9"/>
      <c r="N98" s="14">
        <v>112</v>
      </c>
      <c r="O98" s="15">
        <f t="shared" si="8"/>
        <v>9699.51</v>
      </c>
      <c r="P98" s="16">
        <v>6.45</v>
      </c>
      <c r="Q98" s="17">
        <f t="shared" si="9"/>
        <v>987586</v>
      </c>
      <c r="R98" s="17">
        <f t="shared" si="10"/>
        <v>98759</v>
      </c>
      <c r="S98" s="9"/>
      <c r="T98" s="18">
        <f t="shared" si="7"/>
        <v>226363.02938913679</v>
      </c>
      <c r="U98" s="19"/>
      <c r="V98" s="20"/>
      <c r="W98" s="20"/>
      <c r="X98" s="19"/>
    </row>
    <row r="99" spans="1:24">
      <c r="A99" s="8">
        <v>20260520</v>
      </c>
      <c r="B99" s="8" t="s">
        <v>151</v>
      </c>
      <c r="C99" s="9"/>
      <c r="D99" s="9"/>
      <c r="E99" s="9"/>
      <c r="F99" s="8" t="s">
        <v>24</v>
      </c>
      <c r="G99" s="9"/>
      <c r="H99" s="10" t="s">
        <v>25</v>
      </c>
      <c r="I99" s="11">
        <v>1503.8</v>
      </c>
      <c r="J99" s="12"/>
      <c r="K99" s="13" t="s">
        <v>200</v>
      </c>
      <c r="L99" s="13" t="s">
        <v>66</v>
      </c>
      <c r="M99" s="9"/>
      <c r="N99" s="14">
        <v>112</v>
      </c>
      <c r="O99" s="15">
        <f t="shared" si="8"/>
        <v>9699.51</v>
      </c>
      <c r="P99" s="16">
        <v>6.45</v>
      </c>
      <c r="Q99" s="17">
        <f t="shared" si="9"/>
        <v>987586</v>
      </c>
      <c r="R99" s="17">
        <f t="shared" si="10"/>
        <v>98759</v>
      </c>
      <c r="S99" s="9"/>
      <c r="T99" s="18">
        <f t="shared" si="7"/>
        <v>226363.02938913679</v>
      </c>
      <c r="U99" s="19"/>
      <c r="V99" s="20"/>
      <c r="W99" s="20"/>
      <c r="X99" s="19"/>
    </row>
    <row r="100" spans="1:24">
      <c r="A100" s="8">
        <v>20260520</v>
      </c>
      <c r="B100" s="8" t="s">
        <v>151</v>
      </c>
      <c r="C100" s="9"/>
      <c r="D100" s="9"/>
      <c r="E100" s="9"/>
      <c r="F100" s="8" t="s">
        <v>24</v>
      </c>
      <c r="G100" s="9"/>
      <c r="H100" s="10" t="s">
        <v>25</v>
      </c>
      <c r="I100" s="11">
        <v>1503.8</v>
      </c>
      <c r="J100" s="12"/>
      <c r="K100" s="13" t="s">
        <v>69</v>
      </c>
      <c r="L100" s="13" t="s">
        <v>66</v>
      </c>
      <c r="M100" s="9"/>
      <c r="N100" s="14">
        <v>256</v>
      </c>
      <c r="O100" s="15">
        <f t="shared" si="8"/>
        <v>9699.51</v>
      </c>
      <c r="P100" s="16">
        <v>6.45</v>
      </c>
      <c r="Q100" s="17">
        <f t="shared" si="9"/>
        <v>2257341</v>
      </c>
      <c r="R100" s="17">
        <f t="shared" si="10"/>
        <v>225734</v>
      </c>
      <c r="S100" s="9"/>
      <c r="T100" s="18">
        <f t="shared" si="7"/>
        <v>517401.21003231267</v>
      </c>
      <c r="U100" s="19"/>
      <c r="V100" s="20"/>
      <c r="W100" s="20"/>
      <c r="X100" s="19"/>
    </row>
    <row r="101" spans="1:24">
      <c r="A101" s="8">
        <v>20260520</v>
      </c>
      <c r="B101" s="8" t="s">
        <v>151</v>
      </c>
      <c r="C101" s="9"/>
      <c r="D101" s="9"/>
      <c r="E101" s="9"/>
      <c r="F101" s="8" t="s">
        <v>24</v>
      </c>
      <c r="G101" s="9"/>
      <c r="H101" s="10" t="s">
        <v>25</v>
      </c>
      <c r="I101" s="11">
        <v>1503.8</v>
      </c>
      <c r="J101" s="12"/>
      <c r="K101" s="13" t="s">
        <v>71</v>
      </c>
      <c r="L101" s="13" t="s">
        <v>66</v>
      </c>
      <c r="M101" s="9"/>
      <c r="N101" s="14">
        <v>256</v>
      </c>
      <c r="O101" s="15">
        <f t="shared" si="8"/>
        <v>9699.51</v>
      </c>
      <c r="P101" s="16">
        <v>6.45</v>
      </c>
      <c r="Q101" s="17">
        <f t="shared" si="9"/>
        <v>2257341</v>
      </c>
      <c r="R101" s="17">
        <f t="shared" si="10"/>
        <v>225734</v>
      </c>
      <c r="S101" s="9"/>
      <c r="T101" s="18">
        <f t="shared" si="7"/>
        <v>517401.21003231267</v>
      </c>
      <c r="U101" s="19"/>
      <c r="V101" s="20"/>
      <c r="W101" s="20"/>
      <c r="X101" s="19"/>
    </row>
    <row r="102" spans="1:24">
      <c r="A102" s="8">
        <v>20260520</v>
      </c>
      <c r="B102" s="8" t="s">
        <v>151</v>
      </c>
      <c r="C102" s="9"/>
      <c r="D102" s="9"/>
      <c r="E102" s="9"/>
      <c r="F102" s="8" t="s">
        <v>24</v>
      </c>
      <c r="G102" s="9"/>
      <c r="H102" s="10" t="s">
        <v>25</v>
      </c>
      <c r="I102" s="11">
        <v>1503.8</v>
      </c>
      <c r="J102" s="12"/>
      <c r="K102" s="13" t="s">
        <v>70</v>
      </c>
      <c r="L102" s="13" t="s">
        <v>66</v>
      </c>
      <c r="M102" s="9"/>
      <c r="N102" s="14">
        <v>256</v>
      </c>
      <c r="O102" s="15">
        <f t="shared" si="8"/>
        <v>9699.51</v>
      </c>
      <c r="P102" s="16">
        <v>6.45</v>
      </c>
      <c r="Q102" s="17">
        <f t="shared" si="9"/>
        <v>2257341</v>
      </c>
      <c r="R102" s="17">
        <f t="shared" si="10"/>
        <v>225734</v>
      </c>
      <c r="S102" s="9"/>
      <c r="T102" s="18">
        <f t="shared" si="7"/>
        <v>517401.21003231267</v>
      </c>
      <c r="U102" s="19"/>
      <c r="V102" s="20"/>
      <c r="W102" s="20"/>
      <c r="X102" s="19"/>
    </row>
    <row r="103" spans="1:24">
      <c r="A103" s="8">
        <v>20260520</v>
      </c>
      <c r="B103" s="8" t="s">
        <v>151</v>
      </c>
      <c r="C103" s="9"/>
      <c r="D103" s="9"/>
      <c r="E103" s="9"/>
      <c r="F103" s="8" t="s">
        <v>24</v>
      </c>
      <c r="G103" s="9"/>
      <c r="H103" s="10" t="s">
        <v>25</v>
      </c>
      <c r="I103" s="11">
        <v>1503.8</v>
      </c>
      <c r="J103" s="12"/>
      <c r="K103" s="13" t="s">
        <v>201</v>
      </c>
      <c r="L103" s="13" t="s">
        <v>66</v>
      </c>
      <c r="M103" s="9"/>
      <c r="N103" s="14">
        <v>80</v>
      </c>
      <c r="O103" s="15">
        <f t="shared" si="8"/>
        <v>9699.51</v>
      </c>
      <c r="P103" s="16">
        <v>6.45</v>
      </c>
      <c r="Q103" s="17">
        <f t="shared" si="9"/>
        <v>705419</v>
      </c>
      <c r="R103" s="17">
        <f t="shared" si="10"/>
        <v>70542</v>
      </c>
      <c r="S103" s="9"/>
      <c r="T103" s="18">
        <f t="shared" si="7"/>
        <v>161687.87813509771</v>
      </c>
      <c r="U103" s="19"/>
      <c r="V103" s="20"/>
      <c r="W103" s="20"/>
      <c r="X103" s="19"/>
    </row>
    <row r="104" spans="1:24">
      <c r="A104" s="8">
        <v>20260520</v>
      </c>
      <c r="B104" s="8" t="s">
        <v>151</v>
      </c>
      <c r="C104" s="9"/>
      <c r="D104" s="9"/>
      <c r="E104" s="9"/>
      <c r="F104" s="8" t="s">
        <v>24</v>
      </c>
      <c r="G104" s="9"/>
      <c r="H104" s="10" t="s">
        <v>25</v>
      </c>
      <c r="I104" s="11">
        <v>1503.8</v>
      </c>
      <c r="J104" s="12"/>
      <c r="K104" s="13" t="s">
        <v>67</v>
      </c>
      <c r="L104" s="13" t="s">
        <v>66</v>
      </c>
      <c r="M104" s="9"/>
      <c r="N104" s="14">
        <v>192</v>
      </c>
      <c r="O104" s="15">
        <f t="shared" si="8"/>
        <v>9699.51</v>
      </c>
      <c r="P104" s="16">
        <v>6.45</v>
      </c>
      <c r="Q104" s="17">
        <f t="shared" si="9"/>
        <v>1693005</v>
      </c>
      <c r="R104" s="17">
        <f t="shared" si="10"/>
        <v>169301</v>
      </c>
      <c r="S104" s="9"/>
      <c r="T104" s="18">
        <f t="shared" si="7"/>
        <v>388050.9075242345</v>
      </c>
      <c r="U104" s="19"/>
      <c r="V104" s="20"/>
      <c r="W104" s="20"/>
      <c r="X104" s="19"/>
    </row>
    <row r="105" spans="1:24">
      <c r="A105" s="8">
        <v>20260520</v>
      </c>
      <c r="B105" s="8" t="s">
        <v>151</v>
      </c>
      <c r="C105" s="9"/>
      <c r="D105" s="9"/>
      <c r="E105" s="9"/>
      <c r="F105" s="8" t="s">
        <v>24</v>
      </c>
      <c r="G105" s="9"/>
      <c r="H105" s="10" t="s">
        <v>25</v>
      </c>
      <c r="I105" s="11">
        <v>1503.8</v>
      </c>
      <c r="J105" s="12"/>
      <c r="K105" s="13" t="s">
        <v>73</v>
      </c>
      <c r="L105" s="13" t="s">
        <v>72</v>
      </c>
      <c r="M105" s="9"/>
      <c r="N105" s="14">
        <v>32</v>
      </c>
      <c r="O105" s="15">
        <f t="shared" si="8"/>
        <v>9699.51</v>
      </c>
      <c r="P105" s="16">
        <v>6.45</v>
      </c>
      <c r="Q105" s="17">
        <f t="shared" si="9"/>
        <v>282168</v>
      </c>
      <c r="R105" s="17">
        <f t="shared" si="10"/>
        <v>28217</v>
      </c>
      <c r="S105" s="9"/>
      <c r="T105" s="18">
        <f t="shared" si="7"/>
        <v>64675.151254039083</v>
      </c>
      <c r="U105" s="19"/>
      <c r="V105" s="20"/>
      <c r="W105" s="20"/>
      <c r="X105" s="19"/>
    </row>
    <row r="106" spans="1:24">
      <c r="A106" s="8">
        <v>20260520</v>
      </c>
      <c r="B106" s="8" t="s">
        <v>151</v>
      </c>
      <c r="C106" s="9"/>
      <c r="D106" s="9"/>
      <c r="E106" s="9"/>
      <c r="F106" s="8" t="s">
        <v>24</v>
      </c>
      <c r="G106" s="9"/>
      <c r="H106" s="10" t="s">
        <v>25</v>
      </c>
      <c r="I106" s="11">
        <v>1503.8</v>
      </c>
      <c r="J106" s="12"/>
      <c r="K106" s="13" t="s">
        <v>202</v>
      </c>
      <c r="L106" s="13" t="s">
        <v>103</v>
      </c>
      <c r="M106" s="9"/>
      <c r="N106" s="14">
        <v>40</v>
      </c>
      <c r="O106" s="15">
        <f t="shared" si="8"/>
        <v>7519</v>
      </c>
      <c r="P106" s="16">
        <v>5</v>
      </c>
      <c r="Q106" s="17">
        <f t="shared" si="9"/>
        <v>273418</v>
      </c>
      <c r="R106" s="17">
        <f t="shared" si="10"/>
        <v>27342</v>
      </c>
      <c r="S106" s="9"/>
      <c r="T106" s="18">
        <f t="shared" si="7"/>
        <v>80843.939067548854</v>
      </c>
      <c r="U106" s="19"/>
      <c r="V106" s="20"/>
      <c r="W106" s="20"/>
      <c r="X106" s="19"/>
    </row>
    <row r="107" spans="1:24">
      <c r="A107" s="8">
        <v>20260520</v>
      </c>
      <c r="B107" s="8" t="s">
        <v>151</v>
      </c>
      <c r="C107" s="9"/>
      <c r="D107" s="9"/>
      <c r="E107" s="9"/>
      <c r="F107" s="8" t="s">
        <v>24</v>
      </c>
      <c r="G107" s="9"/>
      <c r="H107" s="10" t="s">
        <v>25</v>
      </c>
      <c r="I107" s="11">
        <v>1503.8</v>
      </c>
      <c r="J107" s="12"/>
      <c r="K107" s="13" t="s">
        <v>105</v>
      </c>
      <c r="L107" s="13" t="s">
        <v>103</v>
      </c>
      <c r="M107" s="9"/>
      <c r="N107" s="14">
        <v>80</v>
      </c>
      <c r="O107" s="15">
        <f t="shared" si="8"/>
        <v>7519</v>
      </c>
      <c r="P107" s="16">
        <v>5</v>
      </c>
      <c r="Q107" s="17">
        <f t="shared" si="9"/>
        <v>546836</v>
      </c>
      <c r="R107" s="17">
        <f t="shared" si="10"/>
        <v>54684</v>
      </c>
      <c r="S107" s="9"/>
      <c r="T107" s="18">
        <f t="shared" si="7"/>
        <v>161687.87813509771</v>
      </c>
      <c r="U107" s="19"/>
      <c r="V107" s="20"/>
      <c r="W107" s="20"/>
      <c r="X107" s="19"/>
    </row>
    <row r="108" spans="1:24">
      <c r="A108" s="8">
        <v>20260520</v>
      </c>
      <c r="B108" s="8" t="s">
        <v>151</v>
      </c>
      <c r="C108" s="9"/>
      <c r="D108" s="9"/>
      <c r="E108" s="9"/>
      <c r="F108" s="8" t="s">
        <v>24</v>
      </c>
      <c r="G108" s="9"/>
      <c r="H108" s="10" t="s">
        <v>25</v>
      </c>
      <c r="I108" s="11">
        <v>1503.8</v>
      </c>
      <c r="J108" s="12"/>
      <c r="K108" s="13" t="s">
        <v>107</v>
      </c>
      <c r="L108" s="13" t="s">
        <v>103</v>
      </c>
      <c r="M108" s="9"/>
      <c r="N108" s="14">
        <v>40</v>
      </c>
      <c r="O108" s="15">
        <f t="shared" si="8"/>
        <v>7519</v>
      </c>
      <c r="P108" s="16">
        <v>5</v>
      </c>
      <c r="Q108" s="17">
        <f t="shared" si="9"/>
        <v>273418</v>
      </c>
      <c r="R108" s="17">
        <f t="shared" si="10"/>
        <v>27342</v>
      </c>
      <c r="S108" s="9"/>
      <c r="T108" s="18">
        <f t="shared" si="7"/>
        <v>80843.939067548854</v>
      </c>
      <c r="U108" s="19"/>
      <c r="V108" s="20"/>
      <c r="W108" s="20"/>
      <c r="X108" s="19"/>
    </row>
    <row r="109" spans="1:24">
      <c r="A109" s="8">
        <v>20260520</v>
      </c>
      <c r="B109" s="8" t="s">
        <v>151</v>
      </c>
      <c r="C109" s="9"/>
      <c r="D109" s="9"/>
      <c r="E109" s="9"/>
      <c r="F109" s="8" t="s">
        <v>24</v>
      </c>
      <c r="G109" s="9"/>
      <c r="H109" s="10" t="s">
        <v>25</v>
      </c>
      <c r="I109" s="11">
        <v>1503.8</v>
      </c>
      <c r="J109" s="12"/>
      <c r="K109" s="13" t="s">
        <v>104</v>
      </c>
      <c r="L109" s="13" t="s">
        <v>103</v>
      </c>
      <c r="M109" s="9"/>
      <c r="N109" s="14">
        <v>80</v>
      </c>
      <c r="O109" s="15">
        <f t="shared" si="8"/>
        <v>7519</v>
      </c>
      <c r="P109" s="16">
        <v>5</v>
      </c>
      <c r="Q109" s="17">
        <f t="shared" si="9"/>
        <v>546836</v>
      </c>
      <c r="R109" s="17">
        <f t="shared" si="10"/>
        <v>54684</v>
      </c>
      <c r="S109" s="9"/>
      <c r="T109" s="18">
        <f t="shared" si="7"/>
        <v>161687.87813509771</v>
      </c>
      <c r="U109" s="19"/>
      <c r="V109" s="20"/>
      <c r="W109" s="20"/>
      <c r="X109" s="19"/>
    </row>
    <row r="110" spans="1:24">
      <c r="A110" s="8">
        <v>20260520</v>
      </c>
      <c r="B110" s="8" t="s">
        <v>151</v>
      </c>
      <c r="C110" s="9"/>
      <c r="D110" s="9"/>
      <c r="E110" s="9"/>
      <c r="F110" s="8" t="s">
        <v>24</v>
      </c>
      <c r="G110" s="9"/>
      <c r="H110" s="10" t="s">
        <v>25</v>
      </c>
      <c r="I110" s="11">
        <v>1503.8</v>
      </c>
      <c r="J110" s="12"/>
      <c r="K110" s="13" t="s">
        <v>109</v>
      </c>
      <c r="L110" s="13" t="s">
        <v>103</v>
      </c>
      <c r="M110" s="9"/>
      <c r="N110" s="14">
        <v>120</v>
      </c>
      <c r="O110" s="15">
        <f t="shared" si="8"/>
        <v>7519</v>
      </c>
      <c r="P110" s="16">
        <v>5</v>
      </c>
      <c r="Q110" s="17">
        <f t="shared" si="9"/>
        <v>820255</v>
      </c>
      <c r="R110" s="17">
        <f t="shared" si="10"/>
        <v>82026</v>
      </c>
      <c r="S110" s="9"/>
      <c r="T110" s="18">
        <f t="shared" si="7"/>
        <v>242531.81720264658</v>
      </c>
      <c r="U110" s="19"/>
      <c r="V110" s="20"/>
      <c r="W110" s="20"/>
      <c r="X110" s="19"/>
    </row>
    <row r="111" spans="1:24">
      <c r="A111" s="8">
        <v>20260520</v>
      </c>
      <c r="B111" s="8" t="s">
        <v>151</v>
      </c>
      <c r="C111" s="9"/>
      <c r="D111" s="9"/>
      <c r="E111" s="9"/>
      <c r="F111" s="8" t="s">
        <v>24</v>
      </c>
      <c r="G111" s="9"/>
      <c r="H111" s="10" t="s">
        <v>25</v>
      </c>
      <c r="I111" s="11">
        <v>1503.8</v>
      </c>
      <c r="J111" s="12"/>
      <c r="K111" s="13" t="s">
        <v>203</v>
      </c>
      <c r="L111" s="13" t="s">
        <v>103</v>
      </c>
      <c r="M111" s="9"/>
      <c r="N111" s="14">
        <v>80</v>
      </c>
      <c r="O111" s="15">
        <f t="shared" si="8"/>
        <v>7519</v>
      </c>
      <c r="P111" s="16">
        <v>5</v>
      </c>
      <c r="Q111" s="17">
        <f t="shared" si="9"/>
        <v>546836</v>
      </c>
      <c r="R111" s="17">
        <f t="shared" si="10"/>
        <v>54684</v>
      </c>
      <c r="S111" s="9"/>
      <c r="T111" s="18">
        <f t="shared" si="7"/>
        <v>161687.87813509771</v>
      </c>
      <c r="U111" s="19"/>
      <c r="V111" s="20"/>
      <c r="W111" s="20"/>
      <c r="X111" s="19"/>
    </row>
    <row r="112" spans="1:24">
      <c r="A112" s="8">
        <v>20260520</v>
      </c>
      <c r="B112" s="8" t="s">
        <v>151</v>
      </c>
      <c r="C112" s="9"/>
      <c r="D112" s="9"/>
      <c r="E112" s="9"/>
      <c r="F112" s="8" t="s">
        <v>24</v>
      </c>
      <c r="G112" s="9"/>
      <c r="H112" s="10" t="s">
        <v>25</v>
      </c>
      <c r="I112" s="11">
        <v>1503.8</v>
      </c>
      <c r="J112" s="12"/>
      <c r="K112" s="13" t="s">
        <v>110</v>
      </c>
      <c r="L112" s="13" t="s">
        <v>103</v>
      </c>
      <c r="M112" s="9"/>
      <c r="N112" s="14">
        <v>120</v>
      </c>
      <c r="O112" s="15">
        <f t="shared" si="8"/>
        <v>7519</v>
      </c>
      <c r="P112" s="16">
        <v>5</v>
      </c>
      <c r="Q112" s="17">
        <f t="shared" si="9"/>
        <v>820255</v>
      </c>
      <c r="R112" s="17">
        <f t="shared" si="10"/>
        <v>82026</v>
      </c>
      <c r="S112" s="9"/>
      <c r="T112" s="18">
        <f t="shared" si="7"/>
        <v>242531.81720264658</v>
      </c>
      <c r="U112" s="19"/>
      <c r="V112" s="20"/>
      <c r="W112" s="20"/>
      <c r="X112" s="19"/>
    </row>
    <row r="113" spans="1:24">
      <c r="A113" s="8">
        <v>20260520</v>
      </c>
      <c r="B113" s="8" t="s">
        <v>151</v>
      </c>
      <c r="C113" s="9"/>
      <c r="D113" s="9"/>
      <c r="E113" s="9"/>
      <c r="F113" s="8" t="s">
        <v>24</v>
      </c>
      <c r="G113" s="9"/>
      <c r="H113" s="10" t="s">
        <v>25</v>
      </c>
      <c r="I113" s="11">
        <v>1503.8</v>
      </c>
      <c r="J113" s="12"/>
      <c r="K113" s="13" t="s">
        <v>106</v>
      </c>
      <c r="L113" s="13" t="s">
        <v>103</v>
      </c>
      <c r="M113" s="9"/>
      <c r="N113" s="14">
        <v>120</v>
      </c>
      <c r="O113" s="15">
        <f t="shared" si="8"/>
        <v>7519</v>
      </c>
      <c r="P113" s="16">
        <v>5</v>
      </c>
      <c r="Q113" s="17">
        <f t="shared" si="9"/>
        <v>820255</v>
      </c>
      <c r="R113" s="17">
        <f t="shared" si="10"/>
        <v>82026</v>
      </c>
      <c r="S113" s="9"/>
      <c r="T113" s="18">
        <f t="shared" si="7"/>
        <v>242531.81720264658</v>
      </c>
      <c r="U113" s="19"/>
      <c r="V113" s="20"/>
      <c r="W113" s="20"/>
      <c r="X113" s="19"/>
    </row>
    <row r="114" spans="1:24">
      <c r="A114" s="8">
        <v>20260520</v>
      </c>
      <c r="B114" s="8" t="s">
        <v>151</v>
      </c>
      <c r="C114" s="9"/>
      <c r="D114" s="9"/>
      <c r="E114" s="9"/>
      <c r="F114" s="8" t="s">
        <v>24</v>
      </c>
      <c r="G114" s="9"/>
      <c r="H114" s="10" t="s">
        <v>25</v>
      </c>
      <c r="I114" s="11">
        <v>1503.8</v>
      </c>
      <c r="J114" s="12"/>
      <c r="K114" s="13" t="s">
        <v>204</v>
      </c>
      <c r="L114" s="13" t="s">
        <v>103</v>
      </c>
      <c r="M114" s="9"/>
      <c r="N114" s="14">
        <v>40</v>
      </c>
      <c r="O114" s="15">
        <f t="shared" si="8"/>
        <v>7519</v>
      </c>
      <c r="P114" s="16">
        <v>5</v>
      </c>
      <c r="Q114" s="17">
        <f t="shared" si="9"/>
        <v>273418</v>
      </c>
      <c r="R114" s="17">
        <f t="shared" si="10"/>
        <v>27342</v>
      </c>
      <c r="S114" s="9"/>
      <c r="T114" s="18">
        <f t="shared" si="7"/>
        <v>80843.939067548854</v>
      </c>
      <c r="U114" s="19"/>
      <c r="V114" s="20"/>
      <c r="W114" s="20"/>
      <c r="X114" s="19"/>
    </row>
    <row r="115" spans="1:24">
      <c r="A115" s="8">
        <v>20260520</v>
      </c>
      <c r="B115" s="8" t="s">
        <v>151</v>
      </c>
      <c r="C115" s="9"/>
      <c r="D115" s="9"/>
      <c r="E115" s="9"/>
      <c r="F115" s="8" t="s">
        <v>24</v>
      </c>
      <c r="G115" s="9"/>
      <c r="H115" s="10" t="s">
        <v>25</v>
      </c>
      <c r="I115" s="11">
        <v>1503.8</v>
      </c>
      <c r="J115" s="12"/>
      <c r="K115" s="13" t="s">
        <v>205</v>
      </c>
      <c r="L115" s="13" t="s">
        <v>103</v>
      </c>
      <c r="M115" s="9"/>
      <c r="N115" s="14">
        <v>40</v>
      </c>
      <c r="O115" s="15">
        <f t="shared" si="8"/>
        <v>7519</v>
      </c>
      <c r="P115" s="16">
        <v>5</v>
      </c>
      <c r="Q115" s="17">
        <f t="shared" si="9"/>
        <v>273418</v>
      </c>
      <c r="R115" s="17">
        <f t="shared" si="10"/>
        <v>27342</v>
      </c>
      <c r="S115" s="9"/>
      <c r="T115" s="18">
        <f t="shared" si="7"/>
        <v>80843.939067548854</v>
      </c>
      <c r="U115" s="19"/>
      <c r="V115" s="20"/>
      <c r="W115" s="20"/>
      <c r="X115" s="19"/>
    </row>
    <row r="116" spans="1:24">
      <c r="A116" s="8">
        <v>20260520</v>
      </c>
      <c r="B116" s="8" t="s">
        <v>151</v>
      </c>
      <c r="C116" s="9"/>
      <c r="D116" s="9"/>
      <c r="E116" s="9"/>
      <c r="F116" s="8" t="s">
        <v>24</v>
      </c>
      <c r="G116" s="9"/>
      <c r="H116" s="10" t="s">
        <v>25</v>
      </c>
      <c r="I116" s="11">
        <v>1503.8</v>
      </c>
      <c r="J116" s="12"/>
      <c r="K116" s="13" t="s">
        <v>206</v>
      </c>
      <c r="L116" s="13" t="s">
        <v>103</v>
      </c>
      <c r="M116" s="9"/>
      <c r="N116" s="14">
        <v>40</v>
      </c>
      <c r="O116" s="15">
        <f t="shared" si="8"/>
        <v>7519</v>
      </c>
      <c r="P116" s="16">
        <v>5</v>
      </c>
      <c r="Q116" s="17">
        <f t="shared" si="9"/>
        <v>273418</v>
      </c>
      <c r="R116" s="17">
        <f t="shared" si="10"/>
        <v>27342</v>
      </c>
      <c r="S116" s="9"/>
      <c r="T116" s="18">
        <f t="shared" si="7"/>
        <v>80843.939067548854</v>
      </c>
      <c r="U116" s="19"/>
      <c r="V116" s="20"/>
      <c r="W116" s="20"/>
      <c r="X116" s="19"/>
    </row>
    <row r="117" spans="1:24">
      <c r="A117" s="8">
        <v>20260520</v>
      </c>
      <c r="B117" s="8" t="s">
        <v>151</v>
      </c>
      <c r="C117" s="9"/>
      <c r="D117" s="9"/>
      <c r="E117" s="9"/>
      <c r="F117" s="8" t="s">
        <v>24</v>
      </c>
      <c r="G117" s="9"/>
      <c r="H117" s="10" t="s">
        <v>25</v>
      </c>
      <c r="I117" s="11">
        <v>1503.8</v>
      </c>
      <c r="J117" s="12"/>
      <c r="K117" s="13" t="s">
        <v>207</v>
      </c>
      <c r="L117" s="13" t="s">
        <v>103</v>
      </c>
      <c r="M117" s="9"/>
      <c r="N117" s="14">
        <v>80</v>
      </c>
      <c r="O117" s="15">
        <f t="shared" si="8"/>
        <v>7519</v>
      </c>
      <c r="P117" s="16">
        <v>5</v>
      </c>
      <c r="Q117" s="17">
        <f t="shared" si="9"/>
        <v>546836</v>
      </c>
      <c r="R117" s="17">
        <f t="shared" si="10"/>
        <v>54684</v>
      </c>
      <c r="S117" s="9"/>
      <c r="T117" s="18">
        <f t="shared" si="7"/>
        <v>161687.87813509771</v>
      </c>
      <c r="U117" s="19"/>
      <c r="V117" s="20"/>
      <c r="W117" s="20"/>
      <c r="X117" s="19"/>
    </row>
    <row r="118" spans="1:24">
      <c r="A118" s="8">
        <v>20260520</v>
      </c>
      <c r="B118" s="8" t="s">
        <v>151</v>
      </c>
      <c r="C118" s="9"/>
      <c r="D118" s="9"/>
      <c r="E118" s="9"/>
      <c r="F118" s="8" t="s">
        <v>24</v>
      </c>
      <c r="G118" s="9"/>
      <c r="H118" s="10" t="s">
        <v>25</v>
      </c>
      <c r="I118" s="11">
        <v>1503.8</v>
      </c>
      <c r="J118" s="12"/>
      <c r="K118" s="13" t="s">
        <v>108</v>
      </c>
      <c r="L118" s="13" t="s">
        <v>103</v>
      </c>
      <c r="M118" s="9"/>
      <c r="N118" s="14">
        <v>80</v>
      </c>
      <c r="O118" s="15">
        <f t="shared" si="8"/>
        <v>7519</v>
      </c>
      <c r="P118" s="16">
        <v>5</v>
      </c>
      <c r="Q118" s="17">
        <f t="shared" si="9"/>
        <v>546836</v>
      </c>
      <c r="R118" s="17">
        <f t="shared" si="10"/>
        <v>54684</v>
      </c>
      <c r="S118" s="9"/>
      <c r="T118" s="18">
        <f t="shared" si="7"/>
        <v>161687.87813509771</v>
      </c>
      <c r="U118" s="19"/>
      <c r="V118" s="20"/>
      <c r="W118" s="20"/>
      <c r="X118" s="19"/>
    </row>
    <row r="119" spans="1:24">
      <c r="A119" s="8">
        <v>20260520</v>
      </c>
      <c r="B119" s="8" t="s">
        <v>151</v>
      </c>
      <c r="C119" s="9"/>
      <c r="D119" s="9"/>
      <c r="E119" s="9"/>
      <c r="F119" s="8" t="s">
        <v>24</v>
      </c>
      <c r="G119" s="9"/>
      <c r="H119" s="10" t="s">
        <v>25</v>
      </c>
      <c r="I119" s="11">
        <v>1503.8</v>
      </c>
      <c r="J119" s="12"/>
      <c r="K119" s="13" t="s">
        <v>78</v>
      </c>
      <c r="L119" s="13" t="s">
        <v>75</v>
      </c>
      <c r="M119" s="9"/>
      <c r="N119" s="14">
        <v>200</v>
      </c>
      <c r="O119" s="15">
        <f t="shared" si="8"/>
        <v>5864.82</v>
      </c>
      <c r="P119" s="16">
        <v>3.9</v>
      </c>
      <c r="Q119" s="17">
        <f t="shared" si="9"/>
        <v>1066331</v>
      </c>
      <c r="R119" s="17">
        <f t="shared" si="10"/>
        <v>106633</v>
      </c>
      <c r="S119" s="9"/>
      <c r="T119" s="18">
        <f t="shared" si="7"/>
        <v>404219.69533774426</v>
      </c>
      <c r="U119" s="19"/>
      <c r="V119" s="20"/>
      <c r="W119" s="20"/>
      <c r="X119" s="19"/>
    </row>
    <row r="120" spans="1:24">
      <c r="A120" s="8">
        <v>20260520</v>
      </c>
      <c r="B120" s="8" t="s">
        <v>151</v>
      </c>
      <c r="C120" s="9"/>
      <c r="D120" s="9"/>
      <c r="E120" s="9"/>
      <c r="F120" s="8" t="s">
        <v>24</v>
      </c>
      <c r="G120" s="9"/>
      <c r="H120" s="10" t="s">
        <v>25</v>
      </c>
      <c r="I120" s="11">
        <v>1503.8</v>
      </c>
      <c r="J120" s="12"/>
      <c r="K120" s="13" t="s">
        <v>208</v>
      </c>
      <c r="L120" s="13" t="s">
        <v>75</v>
      </c>
      <c r="M120" s="9"/>
      <c r="N120" s="14">
        <v>60</v>
      </c>
      <c r="O120" s="15">
        <f t="shared" si="8"/>
        <v>5864.82</v>
      </c>
      <c r="P120" s="16">
        <v>3.9</v>
      </c>
      <c r="Q120" s="17">
        <f t="shared" si="9"/>
        <v>319899</v>
      </c>
      <c r="R120" s="17">
        <f t="shared" si="10"/>
        <v>31990</v>
      </c>
      <c r="S120" s="9"/>
      <c r="T120" s="18">
        <f t="shared" si="7"/>
        <v>121265.90860132329</v>
      </c>
      <c r="U120" s="19"/>
      <c r="V120" s="20"/>
      <c r="W120" s="20"/>
      <c r="X120" s="19"/>
    </row>
    <row r="121" spans="1:24">
      <c r="A121" s="8">
        <v>20260520</v>
      </c>
      <c r="B121" s="8" t="s">
        <v>151</v>
      </c>
      <c r="C121" s="9"/>
      <c r="D121" s="9"/>
      <c r="E121" s="9"/>
      <c r="F121" s="8" t="s">
        <v>24</v>
      </c>
      <c r="G121" s="9"/>
      <c r="H121" s="10" t="s">
        <v>25</v>
      </c>
      <c r="I121" s="11">
        <v>1503.8</v>
      </c>
      <c r="J121" s="12"/>
      <c r="K121" s="13" t="s">
        <v>209</v>
      </c>
      <c r="L121" s="13" t="s">
        <v>75</v>
      </c>
      <c r="M121" s="9"/>
      <c r="N121" s="14">
        <v>40</v>
      </c>
      <c r="O121" s="15">
        <f t="shared" si="8"/>
        <v>5864.82</v>
      </c>
      <c r="P121" s="16">
        <v>3.9</v>
      </c>
      <c r="Q121" s="17">
        <f t="shared" si="9"/>
        <v>213266</v>
      </c>
      <c r="R121" s="17">
        <f t="shared" si="10"/>
        <v>21327</v>
      </c>
      <c r="S121" s="9"/>
      <c r="T121" s="18">
        <f t="shared" si="7"/>
        <v>80843.939067548854</v>
      </c>
      <c r="U121" s="19"/>
      <c r="V121" s="20"/>
      <c r="W121" s="20"/>
      <c r="X121" s="19"/>
    </row>
    <row r="122" spans="1:24">
      <c r="A122" s="8">
        <v>20260520</v>
      </c>
      <c r="B122" s="8" t="s">
        <v>151</v>
      </c>
      <c r="C122" s="9"/>
      <c r="D122" s="9"/>
      <c r="E122" s="9"/>
      <c r="F122" s="8" t="s">
        <v>24</v>
      </c>
      <c r="G122" s="9"/>
      <c r="H122" s="10" t="s">
        <v>25</v>
      </c>
      <c r="I122" s="11">
        <v>1503.8</v>
      </c>
      <c r="J122" s="12"/>
      <c r="K122" s="13" t="s">
        <v>210</v>
      </c>
      <c r="L122" s="13" t="s">
        <v>75</v>
      </c>
      <c r="M122" s="9"/>
      <c r="N122" s="14">
        <v>40</v>
      </c>
      <c r="O122" s="15">
        <f t="shared" si="8"/>
        <v>5864.82</v>
      </c>
      <c r="P122" s="16">
        <v>3.9</v>
      </c>
      <c r="Q122" s="17">
        <f t="shared" si="9"/>
        <v>213266</v>
      </c>
      <c r="R122" s="17">
        <f t="shared" si="10"/>
        <v>21327</v>
      </c>
      <c r="S122" s="9"/>
      <c r="T122" s="18">
        <f t="shared" si="7"/>
        <v>80843.939067548854</v>
      </c>
      <c r="U122" s="19"/>
      <c r="V122" s="20"/>
      <c r="W122" s="20"/>
      <c r="X122" s="19"/>
    </row>
    <row r="123" spans="1:24">
      <c r="A123" s="8">
        <v>20260520</v>
      </c>
      <c r="B123" s="8" t="s">
        <v>151</v>
      </c>
      <c r="C123" s="9"/>
      <c r="D123" s="9"/>
      <c r="E123" s="9"/>
      <c r="F123" s="8" t="s">
        <v>24</v>
      </c>
      <c r="G123" s="9"/>
      <c r="H123" s="10" t="s">
        <v>25</v>
      </c>
      <c r="I123" s="11">
        <v>1503.8</v>
      </c>
      <c r="J123" s="12"/>
      <c r="K123" s="13" t="s">
        <v>211</v>
      </c>
      <c r="L123" s="13" t="s">
        <v>75</v>
      </c>
      <c r="M123" s="9"/>
      <c r="N123" s="14">
        <v>160</v>
      </c>
      <c r="O123" s="15">
        <f t="shared" si="8"/>
        <v>5864.82</v>
      </c>
      <c r="P123" s="16">
        <v>3.9</v>
      </c>
      <c r="Q123" s="17">
        <f t="shared" si="9"/>
        <v>853065</v>
      </c>
      <c r="R123" s="17">
        <f t="shared" si="10"/>
        <v>85307</v>
      </c>
      <c r="S123" s="9"/>
      <c r="T123" s="18">
        <f t="shared" si="7"/>
        <v>323375.75627019542</v>
      </c>
      <c r="U123" s="19"/>
      <c r="V123" s="20"/>
      <c r="W123" s="20"/>
      <c r="X123" s="19"/>
    </row>
    <row r="124" spans="1:24">
      <c r="A124" s="8">
        <v>20260520</v>
      </c>
      <c r="B124" s="8" t="s">
        <v>151</v>
      </c>
      <c r="C124" s="9"/>
      <c r="D124" s="9"/>
      <c r="E124" s="9"/>
      <c r="F124" s="8" t="s">
        <v>24</v>
      </c>
      <c r="G124" s="9"/>
      <c r="H124" s="10" t="s">
        <v>25</v>
      </c>
      <c r="I124" s="11">
        <v>1503.8</v>
      </c>
      <c r="J124" s="12"/>
      <c r="K124" s="13" t="s">
        <v>76</v>
      </c>
      <c r="L124" s="13" t="s">
        <v>75</v>
      </c>
      <c r="M124" s="9"/>
      <c r="N124" s="14">
        <v>200</v>
      </c>
      <c r="O124" s="15">
        <f t="shared" si="8"/>
        <v>5864.82</v>
      </c>
      <c r="P124" s="16">
        <v>3.9</v>
      </c>
      <c r="Q124" s="17">
        <f t="shared" si="9"/>
        <v>1066331</v>
      </c>
      <c r="R124" s="17">
        <f t="shared" si="10"/>
        <v>106633</v>
      </c>
      <c r="S124" s="9"/>
      <c r="T124" s="18">
        <f t="shared" si="7"/>
        <v>404219.69533774426</v>
      </c>
      <c r="U124" s="19"/>
      <c r="V124" s="20"/>
      <c r="W124" s="20"/>
      <c r="X124" s="19"/>
    </row>
    <row r="125" spans="1:24">
      <c r="A125" s="8">
        <v>20260520</v>
      </c>
      <c r="B125" s="8" t="s">
        <v>151</v>
      </c>
      <c r="C125" s="9"/>
      <c r="D125" s="9"/>
      <c r="E125" s="9"/>
      <c r="F125" s="8" t="s">
        <v>24</v>
      </c>
      <c r="G125" s="9"/>
      <c r="H125" s="10" t="s">
        <v>25</v>
      </c>
      <c r="I125" s="11">
        <v>1503.8</v>
      </c>
      <c r="J125" s="12"/>
      <c r="K125" s="13" t="s">
        <v>212</v>
      </c>
      <c r="L125" s="13" t="s">
        <v>75</v>
      </c>
      <c r="M125" s="9"/>
      <c r="N125" s="14">
        <v>90</v>
      </c>
      <c r="O125" s="15">
        <f t="shared" si="8"/>
        <v>5864.82</v>
      </c>
      <c r="P125" s="16">
        <v>3.9</v>
      </c>
      <c r="Q125" s="17">
        <f t="shared" si="9"/>
        <v>479849</v>
      </c>
      <c r="R125" s="17">
        <f t="shared" si="10"/>
        <v>47985</v>
      </c>
      <c r="S125" s="9"/>
      <c r="T125" s="18">
        <f t="shared" si="7"/>
        <v>181898.86290198492</v>
      </c>
      <c r="U125" s="19"/>
      <c r="V125" s="20"/>
      <c r="W125" s="20"/>
      <c r="X125" s="19"/>
    </row>
    <row r="126" spans="1:24">
      <c r="A126" s="8">
        <v>20260520</v>
      </c>
      <c r="B126" s="8" t="s">
        <v>151</v>
      </c>
      <c r="C126" s="9"/>
      <c r="D126" s="9"/>
      <c r="E126" s="9"/>
      <c r="F126" s="8" t="s">
        <v>24</v>
      </c>
      <c r="G126" s="9"/>
      <c r="H126" s="10" t="s">
        <v>25</v>
      </c>
      <c r="I126" s="11">
        <v>1503.8</v>
      </c>
      <c r="J126" s="12"/>
      <c r="K126" s="13" t="s">
        <v>77</v>
      </c>
      <c r="L126" s="13" t="s">
        <v>75</v>
      </c>
      <c r="M126" s="9"/>
      <c r="N126" s="14">
        <v>80</v>
      </c>
      <c r="O126" s="15">
        <f t="shared" si="8"/>
        <v>5864.82</v>
      </c>
      <c r="P126" s="16">
        <v>3.9</v>
      </c>
      <c r="Q126" s="17">
        <f t="shared" si="9"/>
        <v>426532</v>
      </c>
      <c r="R126" s="17">
        <f t="shared" si="10"/>
        <v>42653</v>
      </c>
      <c r="S126" s="9"/>
      <c r="T126" s="18">
        <f t="shared" si="7"/>
        <v>161687.87813509771</v>
      </c>
      <c r="U126" s="19"/>
      <c r="V126" s="20"/>
      <c r="W126" s="20"/>
      <c r="X126" s="19"/>
    </row>
    <row r="127" spans="1:24">
      <c r="A127" s="8">
        <v>20260520</v>
      </c>
      <c r="B127" s="8" t="s">
        <v>151</v>
      </c>
      <c r="C127" s="9"/>
      <c r="D127" s="9"/>
      <c r="E127" s="9"/>
      <c r="F127" s="8" t="s">
        <v>24</v>
      </c>
      <c r="G127" s="9"/>
      <c r="H127" s="10" t="s">
        <v>25</v>
      </c>
      <c r="I127" s="11">
        <v>1503.8</v>
      </c>
      <c r="J127" s="12"/>
      <c r="K127" s="13" t="s">
        <v>213</v>
      </c>
      <c r="L127" s="13" t="s">
        <v>75</v>
      </c>
      <c r="M127" s="9"/>
      <c r="N127" s="14">
        <v>120</v>
      </c>
      <c r="O127" s="15">
        <f t="shared" si="8"/>
        <v>5864.82</v>
      </c>
      <c r="P127" s="16">
        <v>3.9</v>
      </c>
      <c r="Q127" s="17">
        <f t="shared" si="9"/>
        <v>639799</v>
      </c>
      <c r="R127" s="17">
        <f t="shared" si="10"/>
        <v>63980</v>
      </c>
      <c r="S127" s="9"/>
      <c r="T127" s="18">
        <f t="shared" si="7"/>
        <v>242531.81720264658</v>
      </c>
      <c r="U127" s="19"/>
      <c r="V127" s="20"/>
      <c r="W127" s="20"/>
      <c r="X127" s="19"/>
    </row>
    <row r="128" spans="1:24">
      <c r="A128" s="8">
        <v>20260520</v>
      </c>
      <c r="B128" s="8" t="s">
        <v>151</v>
      </c>
      <c r="C128" s="9"/>
      <c r="D128" s="9"/>
      <c r="E128" s="9"/>
      <c r="F128" s="8" t="s">
        <v>24</v>
      </c>
      <c r="G128" s="9"/>
      <c r="H128" s="10" t="s">
        <v>25</v>
      </c>
      <c r="I128" s="11">
        <v>1503.8</v>
      </c>
      <c r="J128" s="12"/>
      <c r="K128" s="13" t="s">
        <v>214</v>
      </c>
      <c r="L128" s="13" t="s">
        <v>75</v>
      </c>
      <c r="M128" s="9"/>
      <c r="N128" s="14">
        <v>50</v>
      </c>
      <c r="O128" s="15">
        <f t="shared" si="8"/>
        <v>5864.82</v>
      </c>
      <c r="P128" s="16">
        <v>3.9</v>
      </c>
      <c r="Q128" s="17">
        <f t="shared" si="9"/>
        <v>266583</v>
      </c>
      <c r="R128" s="17">
        <f t="shared" si="10"/>
        <v>26658</v>
      </c>
      <c r="S128" s="9"/>
      <c r="T128" s="18">
        <f t="shared" si="7"/>
        <v>101054.92383443606</v>
      </c>
      <c r="U128" s="19"/>
      <c r="V128" s="20"/>
      <c r="W128" s="20"/>
      <c r="X128" s="19"/>
    </row>
    <row r="129" spans="1:24">
      <c r="A129" s="8">
        <v>20260520</v>
      </c>
      <c r="B129" s="8" t="s">
        <v>151</v>
      </c>
      <c r="C129" s="9"/>
      <c r="D129" s="9"/>
      <c r="E129" s="9"/>
      <c r="F129" s="8" t="s">
        <v>24</v>
      </c>
      <c r="G129" s="9"/>
      <c r="H129" s="10" t="s">
        <v>25</v>
      </c>
      <c r="I129" s="11">
        <v>1503.8</v>
      </c>
      <c r="J129" s="12"/>
      <c r="K129" s="13" t="s">
        <v>215</v>
      </c>
      <c r="L129" s="13" t="s">
        <v>75</v>
      </c>
      <c r="M129" s="9"/>
      <c r="N129" s="14">
        <v>80</v>
      </c>
      <c r="O129" s="15">
        <f t="shared" si="8"/>
        <v>5864.82</v>
      </c>
      <c r="P129" s="16">
        <v>3.9</v>
      </c>
      <c r="Q129" s="17">
        <f t="shared" si="9"/>
        <v>426532</v>
      </c>
      <c r="R129" s="17">
        <f t="shared" si="10"/>
        <v>42653</v>
      </c>
      <c r="S129" s="9"/>
      <c r="T129" s="18">
        <f t="shared" si="7"/>
        <v>161687.87813509771</v>
      </c>
      <c r="U129" s="19"/>
      <c r="V129" s="20"/>
      <c r="W129" s="20"/>
      <c r="X129" s="19"/>
    </row>
    <row r="130" spans="1:24">
      <c r="A130" s="8">
        <v>20260520</v>
      </c>
      <c r="B130" s="8" t="s">
        <v>151</v>
      </c>
      <c r="C130" s="9"/>
      <c r="D130" s="9"/>
      <c r="E130" s="9"/>
      <c r="F130" s="8" t="s">
        <v>24</v>
      </c>
      <c r="G130" s="9"/>
      <c r="H130" s="10" t="s">
        <v>25</v>
      </c>
      <c r="I130" s="11">
        <v>1503.8</v>
      </c>
      <c r="J130" s="12"/>
      <c r="K130" s="13" t="s">
        <v>74</v>
      </c>
      <c r="L130" s="13" t="s">
        <v>75</v>
      </c>
      <c r="M130" s="9"/>
      <c r="N130" s="14">
        <v>160</v>
      </c>
      <c r="O130" s="15">
        <f t="shared" si="8"/>
        <v>5864.82</v>
      </c>
      <c r="P130" s="16">
        <v>3.9</v>
      </c>
      <c r="Q130" s="17">
        <f t="shared" si="9"/>
        <v>853065</v>
      </c>
      <c r="R130" s="17">
        <f t="shared" si="10"/>
        <v>85307</v>
      </c>
      <c r="S130" s="9"/>
      <c r="T130" s="18">
        <f t="shared" si="7"/>
        <v>323375.75627019542</v>
      </c>
      <c r="U130" s="19"/>
      <c r="V130" s="20"/>
      <c r="W130" s="20"/>
      <c r="X130" s="19"/>
    </row>
    <row r="131" spans="1:24">
      <c r="A131" s="8">
        <v>20260520</v>
      </c>
      <c r="B131" s="8" t="s">
        <v>151</v>
      </c>
      <c r="C131" s="9"/>
      <c r="D131" s="9"/>
      <c r="E131" s="9"/>
      <c r="F131" s="8" t="s">
        <v>24</v>
      </c>
      <c r="G131" s="9"/>
      <c r="H131" s="10" t="s">
        <v>25</v>
      </c>
      <c r="I131" s="11">
        <v>1503.8</v>
      </c>
      <c r="J131" s="12"/>
      <c r="K131" s="13" t="s">
        <v>216</v>
      </c>
      <c r="L131" s="13" t="s">
        <v>75</v>
      </c>
      <c r="M131" s="9"/>
      <c r="N131" s="14">
        <v>120</v>
      </c>
      <c r="O131" s="15">
        <f t="shared" si="8"/>
        <v>5864.82</v>
      </c>
      <c r="P131" s="16">
        <v>3.9</v>
      </c>
      <c r="Q131" s="17">
        <f t="shared" si="9"/>
        <v>639799</v>
      </c>
      <c r="R131" s="17">
        <f t="shared" si="10"/>
        <v>63980</v>
      </c>
      <c r="S131" s="9"/>
      <c r="T131" s="18">
        <f t="shared" ref="T131:T194" si="11">$Y$2/12998*N131</f>
        <v>242531.81720264658</v>
      </c>
      <c r="U131" s="19"/>
      <c r="V131" s="20"/>
      <c r="W131" s="20"/>
      <c r="X131" s="19"/>
    </row>
    <row r="132" spans="1:24">
      <c r="A132" s="8">
        <v>20260520</v>
      </c>
      <c r="B132" s="8" t="s">
        <v>151</v>
      </c>
      <c r="C132" s="9"/>
      <c r="D132" s="9"/>
      <c r="E132" s="9"/>
      <c r="F132" s="8" t="s">
        <v>24</v>
      </c>
      <c r="G132" s="9"/>
      <c r="H132" s="10" t="s">
        <v>25</v>
      </c>
      <c r="I132" s="11">
        <v>1503.8</v>
      </c>
      <c r="J132" s="12"/>
      <c r="K132" s="13" t="s">
        <v>79</v>
      </c>
      <c r="L132" s="13" t="s">
        <v>75</v>
      </c>
      <c r="M132" s="9"/>
      <c r="N132" s="14">
        <v>160</v>
      </c>
      <c r="O132" s="15">
        <f t="shared" si="8"/>
        <v>5864.82</v>
      </c>
      <c r="P132" s="16">
        <v>3.9</v>
      </c>
      <c r="Q132" s="17">
        <f t="shared" si="9"/>
        <v>853065</v>
      </c>
      <c r="R132" s="17">
        <f t="shared" si="10"/>
        <v>85307</v>
      </c>
      <c r="S132" s="9"/>
      <c r="T132" s="18">
        <f t="shared" si="11"/>
        <v>323375.75627019542</v>
      </c>
      <c r="U132" s="19"/>
      <c r="V132" s="20"/>
      <c r="W132" s="20"/>
      <c r="X132" s="19"/>
    </row>
    <row r="133" spans="1:24">
      <c r="A133" s="8">
        <v>20260520</v>
      </c>
      <c r="B133" s="8" t="s">
        <v>151</v>
      </c>
      <c r="C133" s="9"/>
      <c r="D133" s="9"/>
      <c r="E133" s="9"/>
      <c r="F133" s="8" t="s">
        <v>24</v>
      </c>
      <c r="G133" s="9"/>
      <c r="H133" s="10" t="s">
        <v>25</v>
      </c>
      <c r="I133" s="11">
        <v>1503.8</v>
      </c>
      <c r="J133" s="12"/>
      <c r="K133" s="13" t="s">
        <v>149</v>
      </c>
      <c r="L133" s="13" t="s">
        <v>75</v>
      </c>
      <c r="M133" s="9"/>
      <c r="N133" s="14">
        <v>160</v>
      </c>
      <c r="O133" s="15">
        <f t="shared" si="8"/>
        <v>5864.82</v>
      </c>
      <c r="P133" s="16">
        <v>3.9</v>
      </c>
      <c r="Q133" s="17">
        <f t="shared" si="9"/>
        <v>853065</v>
      </c>
      <c r="R133" s="17">
        <f t="shared" si="10"/>
        <v>85307</v>
      </c>
      <c r="S133" s="9"/>
      <c r="T133" s="18">
        <f t="shared" si="11"/>
        <v>323375.75627019542</v>
      </c>
      <c r="U133" s="19"/>
      <c r="V133" s="20"/>
      <c r="W133" s="20"/>
      <c r="X133" s="19"/>
    </row>
    <row r="134" spans="1:24">
      <c r="A134" s="8">
        <v>20260520</v>
      </c>
      <c r="B134" s="8" t="s">
        <v>151</v>
      </c>
      <c r="C134" s="9"/>
      <c r="D134" s="9"/>
      <c r="E134" s="9"/>
      <c r="F134" s="8" t="s">
        <v>24</v>
      </c>
      <c r="G134" s="9"/>
      <c r="H134" s="10" t="s">
        <v>25</v>
      </c>
      <c r="I134" s="11">
        <v>1503.8</v>
      </c>
      <c r="J134" s="12"/>
      <c r="K134" s="13" t="s">
        <v>150</v>
      </c>
      <c r="L134" s="13" t="s">
        <v>75</v>
      </c>
      <c r="M134" s="9"/>
      <c r="N134" s="14">
        <v>200</v>
      </c>
      <c r="O134" s="15">
        <f t="shared" si="8"/>
        <v>5864.82</v>
      </c>
      <c r="P134" s="16">
        <v>3.9</v>
      </c>
      <c r="Q134" s="17">
        <f t="shared" si="9"/>
        <v>1066331</v>
      </c>
      <c r="R134" s="17">
        <f t="shared" si="10"/>
        <v>106633</v>
      </c>
      <c r="S134" s="9"/>
      <c r="T134" s="18">
        <f t="shared" si="11"/>
        <v>404219.69533774426</v>
      </c>
      <c r="U134" s="19"/>
      <c r="V134" s="20"/>
      <c r="W134" s="20"/>
      <c r="X134" s="19"/>
    </row>
    <row r="135" spans="1:24">
      <c r="A135" s="8">
        <v>20260520</v>
      </c>
      <c r="B135" s="8" t="s">
        <v>151</v>
      </c>
      <c r="C135" s="9"/>
      <c r="D135" s="9"/>
      <c r="E135" s="9"/>
      <c r="F135" s="8" t="s">
        <v>24</v>
      </c>
      <c r="G135" s="9"/>
      <c r="H135" s="10" t="s">
        <v>25</v>
      </c>
      <c r="I135" s="11">
        <v>1503.8</v>
      </c>
      <c r="J135" s="12"/>
      <c r="K135" s="13" t="s">
        <v>217</v>
      </c>
      <c r="L135" s="13" t="s">
        <v>75</v>
      </c>
      <c r="M135" s="9"/>
      <c r="N135" s="14">
        <v>120</v>
      </c>
      <c r="O135" s="15">
        <f t="shared" si="8"/>
        <v>5864.82</v>
      </c>
      <c r="P135" s="16">
        <v>3.9</v>
      </c>
      <c r="Q135" s="17">
        <f t="shared" si="9"/>
        <v>639799</v>
      </c>
      <c r="R135" s="17">
        <f t="shared" si="10"/>
        <v>63980</v>
      </c>
      <c r="S135" s="9"/>
      <c r="T135" s="18">
        <f t="shared" si="11"/>
        <v>242531.81720264658</v>
      </c>
      <c r="U135" s="19"/>
      <c r="V135" s="20"/>
      <c r="W135" s="20"/>
      <c r="X135" s="19"/>
    </row>
    <row r="136" spans="1:24">
      <c r="A136" s="8">
        <v>20260520</v>
      </c>
      <c r="B136" s="8" t="s">
        <v>151</v>
      </c>
      <c r="C136" s="9"/>
      <c r="D136" s="9"/>
      <c r="E136" s="9"/>
      <c r="F136" s="8" t="s">
        <v>24</v>
      </c>
      <c r="G136" s="9"/>
      <c r="H136" s="10" t="s">
        <v>25</v>
      </c>
      <c r="I136" s="11">
        <v>1503.8</v>
      </c>
      <c r="J136" s="12"/>
      <c r="K136" s="13" t="s">
        <v>218</v>
      </c>
      <c r="L136" s="13" t="s">
        <v>75</v>
      </c>
      <c r="M136" s="9"/>
      <c r="N136" s="14">
        <v>120</v>
      </c>
      <c r="O136" s="15">
        <f t="shared" si="8"/>
        <v>5864.82</v>
      </c>
      <c r="P136" s="16">
        <v>3.9</v>
      </c>
      <c r="Q136" s="17">
        <f t="shared" si="9"/>
        <v>639799</v>
      </c>
      <c r="R136" s="17">
        <f t="shared" si="10"/>
        <v>63980</v>
      </c>
      <c r="S136" s="9"/>
      <c r="T136" s="18">
        <f t="shared" si="11"/>
        <v>242531.81720264658</v>
      </c>
      <c r="U136" s="19"/>
      <c r="V136" s="20"/>
      <c r="W136" s="20"/>
      <c r="X136" s="19"/>
    </row>
    <row r="137" spans="1:24">
      <c r="A137" s="8">
        <v>20260520</v>
      </c>
      <c r="B137" s="8" t="s">
        <v>151</v>
      </c>
      <c r="C137" s="9"/>
      <c r="D137" s="9"/>
      <c r="E137" s="9"/>
      <c r="F137" s="8" t="s">
        <v>24</v>
      </c>
      <c r="G137" s="9"/>
      <c r="H137" s="10" t="s">
        <v>25</v>
      </c>
      <c r="I137" s="11">
        <v>1503.8</v>
      </c>
      <c r="J137" s="12"/>
      <c r="K137" s="13" t="s">
        <v>219</v>
      </c>
      <c r="L137" s="13" t="s">
        <v>75</v>
      </c>
      <c r="M137" s="9"/>
      <c r="N137" s="14">
        <v>80</v>
      </c>
      <c r="O137" s="15">
        <f t="shared" si="8"/>
        <v>5864.82</v>
      </c>
      <c r="P137" s="16">
        <v>3.9</v>
      </c>
      <c r="Q137" s="17">
        <f t="shared" si="9"/>
        <v>426532</v>
      </c>
      <c r="R137" s="17">
        <f t="shared" si="10"/>
        <v>42653</v>
      </c>
      <c r="S137" s="9"/>
      <c r="T137" s="18">
        <f t="shared" si="11"/>
        <v>161687.87813509771</v>
      </c>
      <c r="U137" s="19"/>
      <c r="V137" s="20"/>
      <c r="W137" s="20"/>
      <c r="X137" s="19"/>
    </row>
    <row r="138" spans="1:24">
      <c r="A138" s="8">
        <v>20260520</v>
      </c>
      <c r="B138" s="8" t="s">
        <v>151</v>
      </c>
      <c r="C138" s="9"/>
      <c r="D138" s="9"/>
      <c r="E138" s="9"/>
      <c r="F138" s="8" t="s">
        <v>24</v>
      </c>
      <c r="G138" s="9"/>
      <c r="H138" s="10" t="s">
        <v>25</v>
      </c>
      <c r="I138" s="11">
        <v>1503.8</v>
      </c>
      <c r="J138" s="12"/>
      <c r="K138" s="13" t="s">
        <v>220</v>
      </c>
      <c r="L138" s="13" t="s">
        <v>75</v>
      </c>
      <c r="M138" s="9"/>
      <c r="N138" s="14">
        <v>120</v>
      </c>
      <c r="O138" s="15">
        <f t="shared" si="8"/>
        <v>5864.82</v>
      </c>
      <c r="P138" s="16">
        <v>3.9</v>
      </c>
      <c r="Q138" s="17">
        <f t="shared" si="9"/>
        <v>639799</v>
      </c>
      <c r="R138" s="17">
        <f t="shared" si="10"/>
        <v>63980</v>
      </c>
      <c r="S138" s="9"/>
      <c r="T138" s="18">
        <f t="shared" si="11"/>
        <v>242531.81720264658</v>
      </c>
      <c r="U138" s="19"/>
      <c r="V138" s="20"/>
      <c r="W138" s="20"/>
      <c r="X138" s="19"/>
    </row>
    <row r="139" spans="1:24">
      <c r="A139" s="8">
        <v>20260520</v>
      </c>
      <c r="B139" s="8" t="s">
        <v>151</v>
      </c>
      <c r="C139" s="9"/>
      <c r="D139" s="9"/>
      <c r="E139" s="9"/>
      <c r="F139" s="8" t="s">
        <v>24</v>
      </c>
      <c r="G139" s="9"/>
      <c r="H139" s="10" t="s">
        <v>25</v>
      </c>
      <c r="I139" s="11">
        <v>1503.8</v>
      </c>
      <c r="J139" s="12"/>
      <c r="K139" s="13" t="s">
        <v>221</v>
      </c>
      <c r="L139" s="13" t="s">
        <v>75</v>
      </c>
      <c r="M139" s="9"/>
      <c r="N139" s="14">
        <v>40</v>
      </c>
      <c r="O139" s="15">
        <f t="shared" si="8"/>
        <v>5864.82</v>
      </c>
      <c r="P139" s="16">
        <v>3.9</v>
      </c>
      <c r="Q139" s="17">
        <f t="shared" si="9"/>
        <v>213266</v>
      </c>
      <c r="R139" s="17">
        <f t="shared" si="10"/>
        <v>21327</v>
      </c>
      <c r="S139" s="9"/>
      <c r="T139" s="18">
        <f t="shared" si="11"/>
        <v>80843.939067548854</v>
      </c>
      <c r="U139" s="19"/>
      <c r="V139" s="20"/>
      <c r="W139" s="20"/>
      <c r="X139" s="19"/>
    </row>
    <row r="140" spans="1:24">
      <c r="A140" s="8">
        <v>20260520</v>
      </c>
      <c r="B140" s="8" t="s">
        <v>151</v>
      </c>
      <c r="C140" s="9"/>
      <c r="D140" s="9"/>
      <c r="E140" s="9"/>
      <c r="F140" s="8" t="s">
        <v>24</v>
      </c>
      <c r="G140" s="9"/>
      <c r="H140" s="10" t="s">
        <v>25</v>
      </c>
      <c r="I140" s="11">
        <v>1503.8</v>
      </c>
      <c r="J140" s="12"/>
      <c r="K140" s="13" t="s">
        <v>85</v>
      </c>
      <c r="L140" s="13" t="s">
        <v>81</v>
      </c>
      <c r="M140" s="9"/>
      <c r="N140" s="14">
        <v>40</v>
      </c>
      <c r="O140" s="15">
        <f t="shared" si="8"/>
        <v>6616.72</v>
      </c>
      <c r="P140" s="16">
        <v>4.4000000000000004</v>
      </c>
      <c r="Q140" s="17">
        <f t="shared" si="9"/>
        <v>240608</v>
      </c>
      <c r="R140" s="17">
        <f t="shared" si="10"/>
        <v>24061</v>
      </c>
      <c r="S140" s="9"/>
      <c r="T140" s="18">
        <f t="shared" si="11"/>
        <v>80843.939067548854</v>
      </c>
      <c r="U140" s="19"/>
      <c r="V140" s="20"/>
      <c r="W140" s="20"/>
      <c r="X140" s="19"/>
    </row>
    <row r="141" spans="1:24">
      <c r="A141" s="8">
        <v>20260520</v>
      </c>
      <c r="B141" s="8" t="s">
        <v>151</v>
      </c>
      <c r="C141" s="9"/>
      <c r="D141" s="9"/>
      <c r="E141" s="9"/>
      <c r="F141" s="8" t="s">
        <v>24</v>
      </c>
      <c r="G141" s="9"/>
      <c r="H141" s="10" t="s">
        <v>25</v>
      </c>
      <c r="I141" s="11">
        <v>1503.8</v>
      </c>
      <c r="J141" s="12"/>
      <c r="K141" s="13" t="s">
        <v>222</v>
      </c>
      <c r="L141" s="13" t="s">
        <v>81</v>
      </c>
      <c r="M141" s="9"/>
      <c r="N141" s="14">
        <v>40</v>
      </c>
      <c r="O141" s="15">
        <f t="shared" si="8"/>
        <v>6616.72</v>
      </c>
      <c r="P141" s="16">
        <v>4.4000000000000004</v>
      </c>
      <c r="Q141" s="17">
        <f t="shared" si="9"/>
        <v>240608</v>
      </c>
      <c r="R141" s="17">
        <f t="shared" si="10"/>
        <v>24061</v>
      </c>
      <c r="S141" s="9"/>
      <c r="T141" s="18">
        <f t="shared" si="11"/>
        <v>80843.939067548854</v>
      </c>
      <c r="U141" s="19"/>
      <c r="V141" s="20"/>
      <c r="W141" s="20"/>
      <c r="X141" s="19"/>
    </row>
    <row r="142" spans="1:24">
      <c r="A142" s="8">
        <v>20260520</v>
      </c>
      <c r="B142" s="8" t="s">
        <v>151</v>
      </c>
      <c r="C142" s="9"/>
      <c r="D142" s="9"/>
      <c r="E142" s="9"/>
      <c r="F142" s="8" t="s">
        <v>24</v>
      </c>
      <c r="G142" s="9"/>
      <c r="H142" s="10" t="s">
        <v>25</v>
      </c>
      <c r="I142" s="11">
        <v>1503.8</v>
      </c>
      <c r="J142" s="12"/>
      <c r="K142" s="13" t="s">
        <v>83</v>
      </c>
      <c r="L142" s="13" t="s">
        <v>81</v>
      </c>
      <c r="M142" s="9"/>
      <c r="N142" s="14">
        <v>80</v>
      </c>
      <c r="O142" s="15">
        <f t="shared" si="8"/>
        <v>6616.72</v>
      </c>
      <c r="P142" s="16">
        <v>4.4000000000000004</v>
      </c>
      <c r="Q142" s="17">
        <f t="shared" si="9"/>
        <v>481216</v>
      </c>
      <c r="R142" s="17">
        <f t="shared" si="10"/>
        <v>48122</v>
      </c>
      <c r="S142" s="9"/>
      <c r="T142" s="18">
        <f t="shared" si="11"/>
        <v>161687.87813509771</v>
      </c>
      <c r="U142" s="19"/>
      <c r="V142" s="20"/>
      <c r="W142" s="20"/>
      <c r="X142" s="19"/>
    </row>
    <row r="143" spans="1:24">
      <c r="A143" s="8">
        <v>20260520</v>
      </c>
      <c r="B143" s="8" t="s">
        <v>151</v>
      </c>
      <c r="C143" s="9"/>
      <c r="D143" s="9"/>
      <c r="E143" s="9"/>
      <c r="F143" s="8" t="s">
        <v>24</v>
      </c>
      <c r="G143" s="9"/>
      <c r="H143" s="10" t="s">
        <v>25</v>
      </c>
      <c r="I143" s="11">
        <v>1503.8</v>
      </c>
      <c r="J143" s="12"/>
      <c r="K143" s="13" t="s">
        <v>223</v>
      </c>
      <c r="L143" s="13" t="s">
        <v>81</v>
      </c>
      <c r="M143" s="9"/>
      <c r="N143" s="14">
        <v>40</v>
      </c>
      <c r="O143" s="15">
        <f t="shared" si="8"/>
        <v>6616.72</v>
      </c>
      <c r="P143" s="16">
        <v>4.4000000000000004</v>
      </c>
      <c r="Q143" s="17">
        <f t="shared" si="9"/>
        <v>240608</v>
      </c>
      <c r="R143" s="17">
        <f t="shared" si="10"/>
        <v>24061</v>
      </c>
      <c r="S143" s="9"/>
      <c r="T143" s="18">
        <f t="shared" si="11"/>
        <v>80843.939067548854</v>
      </c>
      <c r="U143" s="19"/>
      <c r="V143" s="20"/>
      <c r="W143" s="20"/>
      <c r="X143" s="19"/>
    </row>
    <row r="144" spans="1:24">
      <c r="A144" s="8">
        <v>20260520</v>
      </c>
      <c r="B144" s="8" t="s">
        <v>151</v>
      </c>
      <c r="C144" s="9"/>
      <c r="D144" s="9"/>
      <c r="E144" s="9"/>
      <c r="F144" s="8" t="s">
        <v>24</v>
      </c>
      <c r="G144" s="9"/>
      <c r="H144" s="10" t="s">
        <v>25</v>
      </c>
      <c r="I144" s="11">
        <v>1503.8</v>
      </c>
      <c r="J144" s="12"/>
      <c r="K144" s="13" t="s">
        <v>84</v>
      </c>
      <c r="L144" s="13" t="s">
        <v>81</v>
      </c>
      <c r="M144" s="9"/>
      <c r="N144" s="14">
        <v>40</v>
      </c>
      <c r="O144" s="15">
        <f t="shared" si="8"/>
        <v>6616.72</v>
      </c>
      <c r="P144" s="16">
        <v>4.4000000000000004</v>
      </c>
      <c r="Q144" s="17">
        <f t="shared" si="9"/>
        <v>240608</v>
      </c>
      <c r="R144" s="17">
        <f t="shared" si="10"/>
        <v>24061</v>
      </c>
      <c r="S144" s="9"/>
      <c r="T144" s="18">
        <f t="shared" si="11"/>
        <v>80843.939067548854</v>
      </c>
      <c r="U144" s="19"/>
      <c r="V144" s="20"/>
      <c r="W144" s="20"/>
      <c r="X144" s="19"/>
    </row>
    <row r="145" spans="1:24">
      <c r="A145" s="8">
        <v>20260520</v>
      </c>
      <c r="B145" s="8" t="s">
        <v>151</v>
      </c>
      <c r="C145" s="9"/>
      <c r="D145" s="9"/>
      <c r="E145" s="9"/>
      <c r="F145" s="8" t="s">
        <v>24</v>
      </c>
      <c r="G145" s="9"/>
      <c r="H145" s="10" t="s">
        <v>25</v>
      </c>
      <c r="I145" s="11">
        <v>1503.8</v>
      </c>
      <c r="J145" s="12"/>
      <c r="K145" s="13" t="s">
        <v>86</v>
      </c>
      <c r="L145" s="13" t="s">
        <v>81</v>
      </c>
      <c r="M145" s="9"/>
      <c r="N145" s="14">
        <v>80</v>
      </c>
      <c r="O145" s="15">
        <f t="shared" si="8"/>
        <v>6616.72</v>
      </c>
      <c r="P145" s="16">
        <v>4.4000000000000004</v>
      </c>
      <c r="Q145" s="17">
        <f t="shared" si="9"/>
        <v>481216</v>
      </c>
      <c r="R145" s="17">
        <f t="shared" si="10"/>
        <v>48122</v>
      </c>
      <c r="S145" s="9"/>
      <c r="T145" s="18">
        <f t="shared" si="11"/>
        <v>161687.87813509771</v>
      </c>
      <c r="U145" s="19"/>
      <c r="V145" s="20"/>
      <c r="W145" s="20"/>
      <c r="X145" s="19"/>
    </row>
    <row r="146" spans="1:24">
      <c r="A146" s="8">
        <v>20260520</v>
      </c>
      <c r="B146" s="8" t="s">
        <v>151</v>
      </c>
      <c r="C146" s="9"/>
      <c r="D146" s="9"/>
      <c r="E146" s="9"/>
      <c r="F146" s="8" t="s">
        <v>24</v>
      </c>
      <c r="G146" s="9"/>
      <c r="H146" s="10" t="s">
        <v>25</v>
      </c>
      <c r="I146" s="11">
        <v>1503.8</v>
      </c>
      <c r="J146" s="12"/>
      <c r="K146" s="13" t="s">
        <v>224</v>
      </c>
      <c r="L146" s="13" t="s">
        <v>81</v>
      </c>
      <c r="M146" s="9"/>
      <c r="N146" s="14">
        <v>40</v>
      </c>
      <c r="O146" s="15">
        <f t="shared" si="8"/>
        <v>6616.72</v>
      </c>
      <c r="P146" s="16">
        <v>4.4000000000000004</v>
      </c>
      <c r="Q146" s="17">
        <f t="shared" si="9"/>
        <v>240608</v>
      </c>
      <c r="R146" s="17">
        <f t="shared" si="10"/>
        <v>24061</v>
      </c>
      <c r="S146" s="9"/>
      <c r="T146" s="18">
        <f t="shared" si="11"/>
        <v>80843.939067548854</v>
      </c>
      <c r="U146" s="19"/>
      <c r="V146" s="20"/>
      <c r="W146" s="20"/>
      <c r="X146" s="19"/>
    </row>
    <row r="147" spans="1:24">
      <c r="A147" s="8">
        <v>20260520</v>
      </c>
      <c r="B147" s="8" t="s">
        <v>151</v>
      </c>
      <c r="C147" s="9"/>
      <c r="D147" s="9"/>
      <c r="E147" s="9"/>
      <c r="F147" s="8" t="s">
        <v>24</v>
      </c>
      <c r="G147" s="9"/>
      <c r="H147" s="10" t="s">
        <v>25</v>
      </c>
      <c r="I147" s="11">
        <v>1503.8</v>
      </c>
      <c r="J147" s="12"/>
      <c r="K147" s="13" t="s">
        <v>82</v>
      </c>
      <c r="L147" s="13" t="s">
        <v>81</v>
      </c>
      <c r="M147" s="9"/>
      <c r="N147" s="14">
        <v>40</v>
      </c>
      <c r="O147" s="15">
        <f t="shared" si="8"/>
        <v>6616.72</v>
      </c>
      <c r="P147" s="16">
        <v>4.4000000000000004</v>
      </c>
      <c r="Q147" s="17">
        <f t="shared" si="9"/>
        <v>240608</v>
      </c>
      <c r="R147" s="17">
        <f t="shared" si="10"/>
        <v>24061</v>
      </c>
      <c r="S147" s="9"/>
      <c r="T147" s="18">
        <f t="shared" si="11"/>
        <v>80843.939067548854</v>
      </c>
      <c r="U147" s="19"/>
      <c r="V147" s="20"/>
      <c r="W147" s="20"/>
      <c r="X147" s="19"/>
    </row>
    <row r="148" spans="1:24">
      <c r="A148" s="8">
        <v>20260520</v>
      </c>
      <c r="B148" s="8" t="s">
        <v>151</v>
      </c>
      <c r="C148" s="9"/>
      <c r="D148" s="9"/>
      <c r="E148" s="9"/>
      <c r="F148" s="8" t="s">
        <v>24</v>
      </c>
      <c r="G148" s="9"/>
      <c r="H148" s="10" t="s">
        <v>25</v>
      </c>
      <c r="I148" s="11">
        <v>1503.8</v>
      </c>
      <c r="J148" s="12"/>
      <c r="K148" s="13" t="s">
        <v>87</v>
      </c>
      <c r="L148" s="13" t="s">
        <v>81</v>
      </c>
      <c r="M148" s="9"/>
      <c r="N148" s="14">
        <v>40</v>
      </c>
      <c r="O148" s="15">
        <f t="shared" si="8"/>
        <v>6616.72</v>
      </c>
      <c r="P148" s="16">
        <v>4.4000000000000004</v>
      </c>
      <c r="Q148" s="17">
        <f t="shared" si="9"/>
        <v>240608</v>
      </c>
      <c r="R148" s="17">
        <f t="shared" si="10"/>
        <v>24061</v>
      </c>
      <c r="S148" s="9"/>
      <c r="T148" s="18">
        <f t="shared" si="11"/>
        <v>80843.939067548854</v>
      </c>
      <c r="U148" s="19"/>
      <c r="V148" s="20"/>
      <c r="W148" s="20"/>
      <c r="X148" s="19"/>
    </row>
    <row r="149" spans="1:24">
      <c r="A149" s="8">
        <v>20260520</v>
      </c>
      <c r="B149" s="8" t="s">
        <v>151</v>
      </c>
      <c r="C149" s="9"/>
      <c r="D149" s="9"/>
      <c r="E149" s="9"/>
      <c r="F149" s="8" t="s">
        <v>24</v>
      </c>
      <c r="G149" s="9"/>
      <c r="H149" s="10" t="s">
        <v>25</v>
      </c>
      <c r="I149" s="11">
        <v>1503.8</v>
      </c>
      <c r="J149" s="12"/>
      <c r="K149" s="13" t="s">
        <v>80</v>
      </c>
      <c r="L149" s="13" t="s">
        <v>81</v>
      </c>
      <c r="M149" s="9"/>
      <c r="N149" s="14">
        <v>80</v>
      </c>
      <c r="O149" s="15">
        <f t="shared" si="8"/>
        <v>6616.72</v>
      </c>
      <c r="P149" s="16">
        <v>4.4000000000000004</v>
      </c>
      <c r="Q149" s="17">
        <f t="shared" si="9"/>
        <v>481216</v>
      </c>
      <c r="R149" s="17">
        <f t="shared" si="10"/>
        <v>48122</v>
      </c>
      <c r="S149" s="9"/>
      <c r="T149" s="18">
        <f t="shared" si="11"/>
        <v>161687.87813509771</v>
      </c>
      <c r="U149" s="19"/>
      <c r="V149" s="20"/>
      <c r="W149" s="20"/>
      <c r="X149" s="19"/>
    </row>
    <row r="150" spans="1:24">
      <c r="A150" s="8">
        <v>20260520</v>
      </c>
      <c r="B150" s="8" t="s">
        <v>151</v>
      </c>
      <c r="C150" s="9"/>
      <c r="D150" s="9"/>
      <c r="E150" s="9"/>
      <c r="F150" s="8" t="s">
        <v>24</v>
      </c>
      <c r="G150" s="9"/>
      <c r="H150" s="10" t="s">
        <v>25</v>
      </c>
      <c r="I150" s="11">
        <v>1503.8</v>
      </c>
      <c r="J150" s="12"/>
      <c r="K150" s="13" t="s">
        <v>225</v>
      </c>
      <c r="L150" s="13" t="s">
        <v>81</v>
      </c>
      <c r="M150" s="9"/>
      <c r="N150" s="14">
        <v>40</v>
      </c>
      <c r="O150" s="15">
        <f t="shared" si="8"/>
        <v>6616.72</v>
      </c>
      <c r="P150" s="16">
        <v>4.4000000000000004</v>
      </c>
      <c r="Q150" s="17">
        <f t="shared" si="9"/>
        <v>240608</v>
      </c>
      <c r="R150" s="17">
        <f t="shared" si="10"/>
        <v>24061</v>
      </c>
      <c r="S150" s="9"/>
      <c r="T150" s="18">
        <f t="shared" si="11"/>
        <v>80843.939067548854</v>
      </c>
      <c r="U150" s="19"/>
      <c r="V150" s="20"/>
      <c r="W150" s="20"/>
      <c r="X150" s="19"/>
    </row>
    <row r="151" spans="1:24">
      <c r="A151" s="8">
        <v>20260520</v>
      </c>
      <c r="B151" s="8" t="s">
        <v>151</v>
      </c>
      <c r="C151" s="9"/>
      <c r="D151" s="9"/>
      <c r="E151" s="9"/>
      <c r="F151" s="8" t="s">
        <v>24</v>
      </c>
      <c r="G151" s="9"/>
      <c r="H151" s="10" t="s">
        <v>25</v>
      </c>
      <c r="I151" s="11">
        <v>1503.8</v>
      </c>
      <c r="J151" s="12"/>
      <c r="K151" s="13" t="s">
        <v>226</v>
      </c>
      <c r="L151" s="13" t="s">
        <v>81</v>
      </c>
      <c r="M151" s="9"/>
      <c r="N151" s="14">
        <v>40</v>
      </c>
      <c r="O151" s="15">
        <f t="shared" si="8"/>
        <v>6616.72</v>
      </c>
      <c r="P151" s="16">
        <v>4.4000000000000004</v>
      </c>
      <c r="Q151" s="17">
        <f t="shared" si="9"/>
        <v>240608</v>
      </c>
      <c r="R151" s="17">
        <f t="shared" si="10"/>
        <v>24061</v>
      </c>
      <c r="S151" s="9"/>
      <c r="T151" s="18">
        <f t="shared" si="11"/>
        <v>80843.939067548854</v>
      </c>
      <c r="U151" s="19"/>
      <c r="V151" s="20"/>
      <c r="W151" s="20"/>
      <c r="X151" s="19"/>
    </row>
    <row r="152" spans="1:24">
      <c r="A152" s="8">
        <v>20260520</v>
      </c>
      <c r="B152" s="8" t="s">
        <v>151</v>
      </c>
      <c r="C152" s="9"/>
      <c r="D152" s="9"/>
      <c r="E152" s="9"/>
      <c r="F152" s="8" t="s">
        <v>24</v>
      </c>
      <c r="G152" s="9"/>
      <c r="H152" s="10" t="s">
        <v>25</v>
      </c>
      <c r="I152" s="11">
        <v>1503.8</v>
      </c>
      <c r="J152" s="12"/>
      <c r="K152" s="13" t="s">
        <v>91</v>
      </c>
      <c r="L152" s="13" t="s">
        <v>89</v>
      </c>
      <c r="M152" s="9"/>
      <c r="N152" s="14">
        <v>64</v>
      </c>
      <c r="O152" s="15">
        <f t="shared" si="8"/>
        <v>9699.51</v>
      </c>
      <c r="P152" s="16">
        <v>6.45</v>
      </c>
      <c r="Q152" s="17">
        <f t="shared" si="9"/>
        <v>564335</v>
      </c>
      <c r="R152" s="17">
        <f t="shared" si="10"/>
        <v>56434</v>
      </c>
      <c r="S152" s="9"/>
      <c r="T152" s="18">
        <f t="shared" si="11"/>
        <v>129350.30250807817</v>
      </c>
      <c r="U152" s="19"/>
      <c r="V152" s="20"/>
      <c r="W152" s="20"/>
      <c r="X152" s="19"/>
    </row>
    <row r="153" spans="1:24">
      <c r="A153" s="8">
        <v>20260520</v>
      </c>
      <c r="B153" s="8" t="s">
        <v>151</v>
      </c>
      <c r="C153" s="9"/>
      <c r="D153" s="9"/>
      <c r="E153" s="9"/>
      <c r="F153" s="8" t="s">
        <v>24</v>
      </c>
      <c r="G153" s="9"/>
      <c r="H153" s="10" t="s">
        <v>25</v>
      </c>
      <c r="I153" s="11">
        <v>1503.8</v>
      </c>
      <c r="J153" s="12"/>
      <c r="K153" s="13" t="s">
        <v>123</v>
      </c>
      <c r="L153" s="13" t="s">
        <v>89</v>
      </c>
      <c r="M153" s="9"/>
      <c r="N153" s="14">
        <v>384</v>
      </c>
      <c r="O153" s="15">
        <f t="shared" si="8"/>
        <v>9699.51</v>
      </c>
      <c r="P153" s="16">
        <v>6.45</v>
      </c>
      <c r="Q153" s="17">
        <f t="shared" si="9"/>
        <v>3386011</v>
      </c>
      <c r="R153" s="17">
        <f t="shared" si="10"/>
        <v>338601</v>
      </c>
      <c r="S153" s="9"/>
      <c r="T153" s="18">
        <f t="shared" si="11"/>
        <v>776101.815048469</v>
      </c>
      <c r="U153" s="19"/>
      <c r="V153" s="20"/>
      <c r="W153" s="20"/>
      <c r="X153" s="19"/>
    </row>
    <row r="154" spans="1:24">
      <c r="A154" s="8">
        <v>20260520</v>
      </c>
      <c r="B154" s="8" t="s">
        <v>151</v>
      </c>
      <c r="C154" s="9"/>
      <c r="D154" s="9"/>
      <c r="E154" s="9"/>
      <c r="F154" s="8" t="s">
        <v>24</v>
      </c>
      <c r="G154" s="9"/>
      <c r="H154" s="10" t="s">
        <v>25</v>
      </c>
      <c r="I154" s="11">
        <v>1503.8</v>
      </c>
      <c r="J154" s="12"/>
      <c r="K154" s="13" t="s">
        <v>88</v>
      </c>
      <c r="L154" s="13" t="s">
        <v>89</v>
      </c>
      <c r="M154" s="9"/>
      <c r="N154" s="14">
        <v>240</v>
      </c>
      <c r="O154" s="15">
        <f t="shared" si="8"/>
        <v>9699.51</v>
      </c>
      <c r="P154" s="16">
        <v>6.45</v>
      </c>
      <c r="Q154" s="17">
        <f t="shared" si="9"/>
        <v>2116257</v>
      </c>
      <c r="R154" s="17">
        <f t="shared" si="10"/>
        <v>211626</v>
      </c>
      <c r="S154" s="9"/>
      <c r="T154" s="18">
        <f t="shared" si="11"/>
        <v>485063.63440529315</v>
      </c>
      <c r="U154" s="19"/>
      <c r="V154" s="20"/>
      <c r="W154" s="20"/>
      <c r="X154" s="19"/>
    </row>
    <row r="155" spans="1:24">
      <c r="A155" s="8">
        <v>20260520</v>
      </c>
      <c r="B155" s="8" t="s">
        <v>151</v>
      </c>
      <c r="C155" s="9"/>
      <c r="D155" s="9"/>
      <c r="E155" s="9"/>
      <c r="F155" s="8" t="s">
        <v>24</v>
      </c>
      <c r="G155" s="9"/>
      <c r="H155" s="10" t="s">
        <v>25</v>
      </c>
      <c r="I155" s="11">
        <v>1503.8</v>
      </c>
      <c r="J155" s="12"/>
      <c r="K155" s="13" t="s">
        <v>90</v>
      </c>
      <c r="L155" s="13" t="s">
        <v>89</v>
      </c>
      <c r="M155" s="9"/>
      <c r="N155" s="14">
        <v>160</v>
      </c>
      <c r="O155" s="15">
        <f t="shared" si="8"/>
        <v>9699.51</v>
      </c>
      <c r="P155" s="16">
        <v>6.45</v>
      </c>
      <c r="Q155" s="17">
        <f t="shared" si="9"/>
        <v>1410838</v>
      </c>
      <c r="R155" s="17">
        <f t="shared" si="10"/>
        <v>141084</v>
      </c>
      <c r="S155" s="9"/>
      <c r="T155" s="18">
        <f t="shared" si="11"/>
        <v>323375.75627019542</v>
      </c>
      <c r="U155" s="19"/>
      <c r="V155" s="20"/>
      <c r="W155" s="20"/>
      <c r="X155" s="19"/>
    </row>
    <row r="156" spans="1:24">
      <c r="A156" s="8">
        <v>20260520</v>
      </c>
      <c r="B156" s="8" t="s">
        <v>151</v>
      </c>
      <c r="C156" s="9"/>
      <c r="D156" s="9"/>
      <c r="E156" s="9"/>
      <c r="F156" s="8" t="s">
        <v>24</v>
      </c>
      <c r="G156" s="9"/>
      <c r="H156" s="10" t="s">
        <v>25</v>
      </c>
      <c r="I156" s="11">
        <v>1503.8</v>
      </c>
      <c r="J156" s="12"/>
      <c r="K156" s="13" t="s">
        <v>94</v>
      </c>
      <c r="L156" s="13" t="s">
        <v>93</v>
      </c>
      <c r="M156" s="9"/>
      <c r="N156" s="14">
        <v>16</v>
      </c>
      <c r="O156" s="15">
        <f t="shared" si="8"/>
        <v>9925.08</v>
      </c>
      <c r="P156" s="16">
        <v>6.6</v>
      </c>
      <c r="Q156" s="17">
        <f t="shared" si="9"/>
        <v>144365</v>
      </c>
      <c r="R156" s="17">
        <f t="shared" si="10"/>
        <v>14437</v>
      </c>
      <c r="S156" s="9"/>
      <c r="T156" s="18">
        <f t="shared" si="11"/>
        <v>32337.575627019542</v>
      </c>
      <c r="U156" s="19"/>
      <c r="V156" s="20"/>
      <c r="W156" s="20"/>
      <c r="X156" s="19"/>
    </row>
    <row r="157" spans="1:24">
      <c r="A157" s="8">
        <v>20260520</v>
      </c>
      <c r="B157" s="8" t="s">
        <v>151</v>
      </c>
      <c r="C157" s="9"/>
      <c r="D157" s="9"/>
      <c r="E157" s="9"/>
      <c r="F157" s="8" t="s">
        <v>24</v>
      </c>
      <c r="G157" s="9"/>
      <c r="H157" s="10" t="s">
        <v>25</v>
      </c>
      <c r="I157" s="11">
        <v>1503.8</v>
      </c>
      <c r="J157" s="12"/>
      <c r="K157" s="13" t="s">
        <v>227</v>
      </c>
      <c r="L157" s="13" t="s">
        <v>93</v>
      </c>
      <c r="M157" s="9"/>
      <c r="N157" s="14">
        <v>16</v>
      </c>
      <c r="O157" s="15">
        <f t="shared" si="8"/>
        <v>9925.08</v>
      </c>
      <c r="P157" s="16">
        <v>6.6</v>
      </c>
      <c r="Q157" s="17">
        <f t="shared" si="9"/>
        <v>144365</v>
      </c>
      <c r="R157" s="17">
        <f t="shared" si="10"/>
        <v>14437</v>
      </c>
      <c r="S157" s="9"/>
      <c r="T157" s="18">
        <f t="shared" si="11"/>
        <v>32337.575627019542</v>
      </c>
      <c r="U157" s="19"/>
      <c r="V157" s="20"/>
      <c r="W157" s="20"/>
      <c r="X157" s="19"/>
    </row>
    <row r="158" spans="1:24">
      <c r="A158" s="8">
        <v>20260520</v>
      </c>
      <c r="B158" s="8" t="s">
        <v>151</v>
      </c>
      <c r="C158" s="9"/>
      <c r="D158" s="9"/>
      <c r="E158" s="9"/>
      <c r="F158" s="8" t="s">
        <v>24</v>
      </c>
      <c r="G158" s="9"/>
      <c r="H158" s="10" t="s">
        <v>25</v>
      </c>
      <c r="I158" s="11">
        <v>1503.8</v>
      </c>
      <c r="J158" s="12"/>
      <c r="K158" s="13" t="s">
        <v>228</v>
      </c>
      <c r="L158" s="13" t="s">
        <v>93</v>
      </c>
      <c r="M158" s="9"/>
      <c r="N158" s="14">
        <v>32</v>
      </c>
      <c r="O158" s="15">
        <f t="shared" ref="O158:O205" si="12">P158*I158</f>
        <v>9925.08</v>
      </c>
      <c r="P158" s="16">
        <v>6.6</v>
      </c>
      <c r="Q158" s="17">
        <f t="shared" ref="Q158:Q205" si="13">ROUND(O158*N158/1.1,0)</f>
        <v>288730</v>
      </c>
      <c r="R158" s="17">
        <f t="shared" ref="R158:R205" si="14">ROUND(Q158*0.1,0)</f>
        <v>28873</v>
      </c>
      <c r="S158" s="9"/>
      <c r="T158" s="18">
        <f t="shared" si="11"/>
        <v>64675.151254039083</v>
      </c>
      <c r="U158" s="19"/>
      <c r="V158" s="20"/>
      <c r="W158" s="20"/>
      <c r="X158" s="19"/>
    </row>
    <row r="159" spans="1:24">
      <c r="A159" s="8">
        <v>20260520</v>
      </c>
      <c r="B159" s="8" t="s">
        <v>151</v>
      </c>
      <c r="C159" s="9"/>
      <c r="D159" s="9"/>
      <c r="E159" s="9"/>
      <c r="F159" s="8" t="s">
        <v>24</v>
      </c>
      <c r="G159" s="9"/>
      <c r="H159" s="10" t="s">
        <v>25</v>
      </c>
      <c r="I159" s="11">
        <v>1503.8</v>
      </c>
      <c r="J159" s="12"/>
      <c r="K159" s="13" t="s">
        <v>229</v>
      </c>
      <c r="L159" s="13" t="s">
        <v>93</v>
      </c>
      <c r="M159" s="9"/>
      <c r="N159" s="14">
        <v>112</v>
      </c>
      <c r="O159" s="15">
        <f t="shared" si="12"/>
        <v>9925.08</v>
      </c>
      <c r="P159" s="16">
        <v>6.6</v>
      </c>
      <c r="Q159" s="17">
        <f t="shared" si="13"/>
        <v>1010554</v>
      </c>
      <c r="R159" s="17">
        <f t="shared" si="14"/>
        <v>101055</v>
      </c>
      <c r="S159" s="9"/>
      <c r="T159" s="18">
        <f t="shared" si="11"/>
        <v>226363.02938913679</v>
      </c>
      <c r="U159" s="19"/>
      <c r="V159" s="20"/>
      <c r="W159" s="20"/>
      <c r="X159" s="19"/>
    </row>
    <row r="160" spans="1:24">
      <c r="A160" s="8">
        <v>20260520</v>
      </c>
      <c r="B160" s="8" t="s">
        <v>151</v>
      </c>
      <c r="C160" s="9"/>
      <c r="D160" s="9"/>
      <c r="E160" s="9"/>
      <c r="F160" s="8" t="s">
        <v>24</v>
      </c>
      <c r="G160" s="9"/>
      <c r="H160" s="10" t="s">
        <v>25</v>
      </c>
      <c r="I160" s="11">
        <v>1503.8</v>
      </c>
      <c r="J160" s="12"/>
      <c r="K160" s="13" t="s">
        <v>230</v>
      </c>
      <c r="L160" s="13" t="s">
        <v>93</v>
      </c>
      <c r="M160" s="9"/>
      <c r="N160" s="14">
        <v>32</v>
      </c>
      <c r="O160" s="15">
        <f t="shared" si="12"/>
        <v>9925.08</v>
      </c>
      <c r="P160" s="16">
        <v>6.6</v>
      </c>
      <c r="Q160" s="17">
        <f t="shared" si="13"/>
        <v>288730</v>
      </c>
      <c r="R160" s="17">
        <f t="shared" si="14"/>
        <v>28873</v>
      </c>
      <c r="S160" s="9"/>
      <c r="T160" s="18">
        <f t="shared" si="11"/>
        <v>64675.151254039083</v>
      </c>
      <c r="U160" s="19"/>
      <c r="V160" s="20"/>
      <c r="W160" s="20"/>
      <c r="X160" s="19"/>
    </row>
    <row r="161" spans="1:24">
      <c r="A161" s="8">
        <v>20260520</v>
      </c>
      <c r="B161" s="8" t="s">
        <v>151</v>
      </c>
      <c r="C161" s="9"/>
      <c r="D161" s="9"/>
      <c r="E161" s="9"/>
      <c r="F161" s="8" t="s">
        <v>24</v>
      </c>
      <c r="G161" s="9"/>
      <c r="H161" s="10" t="s">
        <v>25</v>
      </c>
      <c r="I161" s="11">
        <v>1503.8</v>
      </c>
      <c r="J161" s="12"/>
      <c r="K161" s="13" t="s">
        <v>95</v>
      </c>
      <c r="L161" s="13" t="s">
        <v>93</v>
      </c>
      <c r="M161" s="9"/>
      <c r="N161" s="14">
        <v>16</v>
      </c>
      <c r="O161" s="15">
        <f t="shared" si="12"/>
        <v>9925.08</v>
      </c>
      <c r="P161" s="16">
        <v>6.6</v>
      </c>
      <c r="Q161" s="17">
        <f t="shared" si="13"/>
        <v>144365</v>
      </c>
      <c r="R161" s="17">
        <f t="shared" si="14"/>
        <v>14437</v>
      </c>
      <c r="S161" s="9"/>
      <c r="T161" s="18">
        <f t="shared" si="11"/>
        <v>32337.575627019542</v>
      </c>
      <c r="U161" s="19"/>
      <c r="V161" s="20"/>
      <c r="W161" s="20"/>
      <c r="X161" s="19"/>
    </row>
    <row r="162" spans="1:24">
      <c r="A162" s="8">
        <v>20260520</v>
      </c>
      <c r="B162" s="8" t="s">
        <v>151</v>
      </c>
      <c r="C162" s="9"/>
      <c r="D162" s="9"/>
      <c r="E162" s="9"/>
      <c r="F162" s="8" t="s">
        <v>24</v>
      </c>
      <c r="G162" s="9"/>
      <c r="H162" s="10" t="s">
        <v>25</v>
      </c>
      <c r="I162" s="11">
        <v>1503.8</v>
      </c>
      <c r="J162" s="12"/>
      <c r="K162" s="13" t="s">
        <v>231</v>
      </c>
      <c r="L162" s="13" t="s">
        <v>93</v>
      </c>
      <c r="M162" s="9"/>
      <c r="N162" s="14">
        <v>32</v>
      </c>
      <c r="O162" s="15">
        <f t="shared" si="12"/>
        <v>9925.08</v>
      </c>
      <c r="P162" s="16">
        <v>6.6</v>
      </c>
      <c r="Q162" s="17">
        <f t="shared" si="13"/>
        <v>288730</v>
      </c>
      <c r="R162" s="17">
        <f t="shared" si="14"/>
        <v>28873</v>
      </c>
      <c r="S162" s="9"/>
      <c r="T162" s="18">
        <f t="shared" si="11"/>
        <v>64675.151254039083</v>
      </c>
      <c r="U162" s="19"/>
      <c r="V162" s="20"/>
      <c r="W162" s="20"/>
      <c r="X162" s="19"/>
    </row>
    <row r="163" spans="1:24">
      <c r="A163" s="8">
        <v>20260520</v>
      </c>
      <c r="B163" s="8" t="s">
        <v>151</v>
      </c>
      <c r="C163" s="9"/>
      <c r="D163" s="9"/>
      <c r="E163" s="9"/>
      <c r="F163" s="8" t="s">
        <v>24</v>
      </c>
      <c r="G163" s="9"/>
      <c r="H163" s="10" t="s">
        <v>25</v>
      </c>
      <c r="I163" s="11">
        <v>1503.8</v>
      </c>
      <c r="J163" s="12"/>
      <c r="K163" s="13" t="s">
        <v>232</v>
      </c>
      <c r="L163" s="13" t="s">
        <v>93</v>
      </c>
      <c r="M163" s="9"/>
      <c r="N163" s="14">
        <v>16</v>
      </c>
      <c r="O163" s="15">
        <f t="shared" si="12"/>
        <v>9925.08</v>
      </c>
      <c r="P163" s="16">
        <v>6.6</v>
      </c>
      <c r="Q163" s="17">
        <f t="shared" si="13"/>
        <v>144365</v>
      </c>
      <c r="R163" s="17">
        <f t="shared" si="14"/>
        <v>14437</v>
      </c>
      <c r="S163" s="9"/>
      <c r="T163" s="18">
        <f t="shared" si="11"/>
        <v>32337.575627019542</v>
      </c>
      <c r="U163" s="19"/>
      <c r="V163" s="20"/>
      <c r="W163" s="20"/>
      <c r="X163" s="19"/>
    </row>
    <row r="164" spans="1:24">
      <c r="A164" s="8">
        <v>20260520</v>
      </c>
      <c r="B164" s="8" t="s">
        <v>151</v>
      </c>
      <c r="C164" s="9"/>
      <c r="D164" s="9"/>
      <c r="E164" s="9"/>
      <c r="F164" s="8" t="s">
        <v>24</v>
      </c>
      <c r="G164" s="9"/>
      <c r="H164" s="10" t="s">
        <v>25</v>
      </c>
      <c r="I164" s="11">
        <v>1503.8</v>
      </c>
      <c r="J164" s="12"/>
      <c r="K164" s="13" t="s">
        <v>233</v>
      </c>
      <c r="L164" s="13" t="s">
        <v>93</v>
      </c>
      <c r="M164" s="9"/>
      <c r="N164" s="14">
        <v>112</v>
      </c>
      <c r="O164" s="15">
        <f t="shared" si="12"/>
        <v>9925.08</v>
      </c>
      <c r="P164" s="16">
        <v>6.6</v>
      </c>
      <c r="Q164" s="17">
        <f t="shared" si="13"/>
        <v>1010554</v>
      </c>
      <c r="R164" s="17">
        <f t="shared" si="14"/>
        <v>101055</v>
      </c>
      <c r="S164" s="9"/>
      <c r="T164" s="18">
        <f t="shared" si="11"/>
        <v>226363.02938913679</v>
      </c>
      <c r="U164" s="19"/>
      <c r="V164" s="20"/>
      <c r="W164" s="20"/>
      <c r="X164" s="19"/>
    </row>
    <row r="165" spans="1:24">
      <c r="A165" s="8">
        <v>20260520</v>
      </c>
      <c r="B165" s="8" t="s">
        <v>151</v>
      </c>
      <c r="C165" s="9"/>
      <c r="D165" s="9"/>
      <c r="E165" s="9"/>
      <c r="F165" s="8" t="s">
        <v>24</v>
      </c>
      <c r="G165" s="9"/>
      <c r="H165" s="10" t="s">
        <v>25</v>
      </c>
      <c r="I165" s="11">
        <v>1503.8</v>
      </c>
      <c r="J165" s="12"/>
      <c r="K165" s="13" t="s">
        <v>234</v>
      </c>
      <c r="L165" s="13" t="s">
        <v>93</v>
      </c>
      <c r="M165" s="9"/>
      <c r="N165" s="14">
        <v>112</v>
      </c>
      <c r="O165" s="15">
        <f t="shared" si="12"/>
        <v>9925.08</v>
      </c>
      <c r="P165" s="16">
        <v>6.6</v>
      </c>
      <c r="Q165" s="17">
        <f t="shared" si="13"/>
        <v>1010554</v>
      </c>
      <c r="R165" s="17">
        <f t="shared" si="14"/>
        <v>101055</v>
      </c>
      <c r="S165" s="9"/>
      <c r="T165" s="18">
        <f t="shared" si="11"/>
        <v>226363.02938913679</v>
      </c>
      <c r="U165" s="19"/>
      <c r="V165" s="20"/>
      <c r="W165" s="20"/>
      <c r="X165" s="19"/>
    </row>
    <row r="166" spans="1:24">
      <c r="A166" s="8">
        <v>20260520</v>
      </c>
      <c r="B166" s="8" t="s">
        <v>151</v>
      </c>
      <c r="C166" s="9"/>
      <c r="D166" s="9"/>
      <c r="E166" s="9"/>
      <c r="F166" s="8" t="s">
        <v>24</v>
      </c>
      <c r="G166" s="9"/>
      <c r="H166" s="10" t="s">
        <v>25</v>
      </c>
      <c r="I166" s="11">
        <v>1503.8</v>
      </c>
      <c r="J166" s="12"/>
      <c r="K166" s="13" t="s">
        <v>235</v>
      </c>
      <c r="L166" s="13" t="s">
        <v>93</v>
      </c>
      <c r="M166" s="9"/>
      <c r="N166" s="14">
        <v>32</v>
      </c>
      <c r="O166" s="15">
        <f t="shared" si="12"/>
        <v>9925.08</v>
      </c>
      <c r="P166" s="16">
        <v>6.6</v>
      </c>
      <c r="Q166" s="17">
        <f t="shared" si="13"/>
        <v>288730</v>
      </c>
      <c r="R166" s="17">
        <f t="shared" si="14"/>
        <v>28873</v>
      </c>
      <c r="S166" s="9"/>
      <c r="T166" s="18">
        <f t="shared" si="11"/>
        <v>64675.151254039083</v>
      </c>
      <c r="U166" s="19"/>
      <c r="V166" s="20"/>
      <c r="W166" s="20"/>
      <c r="X166" s="19"/>
    </row>
    <row r="167" spans="1:24">
      <c r="A167" s="8">
        <v>20260520</v>
      </c>
      <c r="B167" s="8" t="s">
        <v>151</v>
      </c>
      <c r="C167" s="9"/>
      <c r="D167" s="9"/>
      <c r="E167" s="9"/>
      <c r="F167" s="8" t="s">
        <v>24</v>
      </c>
      <c r="G167" s="9"/>
      <c r="H167" s="10" t="s">
        <v>25</v>
      </c>
      <c r="I167" s="11">
        <v>1503.8</v>
      </c>
      <c r="J167" s="12"/>
      <c r="K167" s="13" t="s">
        <v>236</v>
      </c>
      <c r="L167" s="13" t="s">
        <v>93</v>
      </c>
      <c r="M167" s="9"/>
      <c r="N167" s="14">
        <v>32</v>
      </c>
      <c r="O167" s="15">
        <f t="shared" si="12"/>
        <v>9925.08</v>
      </c>
      <c r="P167" s="16">
        <v>6.6</v>
      </c>
      <c r="Q167" s="17">
        <f t="shared" si="13"/>
        <v>288730</v>
      </c>
      <c r="R167" s="17">
        <f t="shared" si="14"/>
        <v>28873</v>
      </c>
      <c r="S167" s="9"/>
      <c r="T167" s="18">
        <f t="shared" si="11"/>
        <v>64675.151254039083</v>
      </c>
      <c r="U167" s="19"/>
      <c r="V167" s="20"/>
      <c r="W167" s="20"/>
      <c r="X167" s="19"/>
    </row>
    <row r="168" spans="1:24">
      <c r="A168" s="8">
        <v>20260520</v>
      </c>
      <c r="B168" s="8" t="s">
        <v>151</v>
      </c>
      <c r="C168" s="9"/>
      <c r="D168" s="9"/>
      <c r="E168" s="9"/>
      <c r="F168" s="8" t="s">
        <v>24</v>
      </c>
      <c r="G168" s="9"/>
      <c r="H168" s="10" t="s">
        <v>25</v>
      </c>
      <c r="I168" s="11">
        <v>1503.8</v>
      </c>
      <c r="J168" s="12"/>
      <c r="K168" s="13" t="s">
        <v>237</v>
      </c>
      <c r="L168" s="13" t="s">
        <v>93</v>
      </c>
      <c r="M168" s="9"/>
      <c r="N168" s="14">
        <v>112</v>
      </c>
      <c r="O168" s="15">
        <f t="shared" si="12"/>
        <v>9925.08</v>
      </c>
      <c r="P168" s="16">
        <v>6.6</v>
      </c>
      <c r="Q168" s="17">
        <f t="shared" si="13"/>
        <v>1010554</v>
      </c>
      <c r="R168" s="17">
        <f t="shared" si="14"/>
        <v>101055</v>
      </c>
      <c r="S168" s="9"/>
      <c r="T168" s="18">
        <f t="shared" si="11"/>
        <v>226363.02938913679</v>
      </c>
      <c r="U168" s="19"/>
      <c r="V168" s="20"/>
      <c r="W168" s="20"/>
      <c r="X168" s="19"/>
    </row>
    <row r="169" spans="1:24">
      <c r="A169" s="8">
        <v>20260520</v>
      </c>
      <c r="B169" s="8" t="s">
        <v>151</v>
      </c>
      <c r="C169" s="9"/>
      <c r="D169" s="9"/>
      <c r="E169" s="9"/>
      <c r="F169" s="8" t="s">
        <v>24</v>
      </c>
      <c r="G169" s="9"/>
      <c r="H169" s="10" t="s">
        <v>25</v>
      </c>
      <c r="I169" s="11">
        <v>1503.8</v>
      </c>
      <c r="J169" s="12"/>
      <c r="K169" s="13" t="s">
        <v>92</v>
      </c>
      <c r="L169" s="13" t="s">
        <v>93</v>
      </c>
      <c r="M169" s="9"/>
      <c r="N169" s="14">
        <v>16</v>
      </c>
      <c r="O169" s="15">
        <f t="shared" si="12"/>
        <v>9925.08</v>
      </c>
      <c r="P169" s="16">
        <v>6.6</v>
      </c>
      <c r="Q169" s="17">
        <f t="shared" si="13"/>
        <v>144365</v>
      </c>
      <c r="R169" s="17">
        <f t="shared" si="14"/>
        <v>14437</v>
      </c>
      <c r="S169" s="9"/>
      <c r="T169" s="18">
        <f t="shared" si="11"/>
        <v>32337.575627019542</v>
      </c>
      <c r="U169" s="19"/>
      <c r="V169" s="20"/>
      <c r="W169" s="20"/>
      <c r="X169" s="19"/>
    </row>
    <row r="170" spans="1:24">
      <c r="A170" s="8">
        <v>20260520</v>
      </c>
      <c r="B170" s="8" t="s">
        <v>151</v>
      </c>
      <c r="C170" s="9"/>
      <c r="D170" s="9"/>
      <c r="E170" s="9"/>
      <c r="F170" s="8" t="s">
        <v>24</v>
      </c>
      <c r="G170" s="9"/>
      <c r="H170" s="10" t="s">
        <v>25</v>
      </c>
      <c r="I170" s="11">
        <v>1503.8</v>
      </c>
      <c r="J170" s="12"/>
      <c r="K170" s="13" t="s">
        <v>96</v>
      </c>
      <c r="L170" s="13" t="s">
        <v>93</v>
      </c>
      <c r="M170" s="9"/>
      <c r="N170" s="14">
        <v>16</v>
      </c>
      <c r="O170" s="15">
        <f t="shared" si="12"/>
        <v>9925.08</v>
      </c>
      <c r="P170" s="16">
        <v>6.6</v>
      </c>
      <c r="Q170" s="17">
        <f t="shared" si="13"/>
        <v>144365</v>
      </c>
      <c r="R170" s="17">
        <f t="shared" si="14"/>
        <v>14437</v>
      </c>
      <c r="S170" s="9"/>
      <c r="T170" s="18">
        <f t="shared" si="11"/>
        <v>32337.575627019542</v>
      </c>
      <c r="U170" s="19"/>
      <c r="V170" s="20"/>
      <c r="W170" s="20"/>
      <c r="X170" s="19"/>
    </row>
    <row r="171" spans="1:24">
      <c r="A171" s="8">
        <v>20260520</v>
      </c>
      <c r="B171" s="8" t="s">
        <v>151</v>
      </c>
      <c r="C171" s="9"/>
      <c r="D171" s="9"/>
      <c r="E171" s="9"/>
      <c r="F171" s="8" t="s">
        <v>24</v>
      </c>
      <c r="G171" s="9"/>
      <c r="H171" s="10" t="s">
        <v>25</v>
      </c>
      <c r="I171" s="11">
        <v>1503.8</v>
      </c>
      <c r="J171" s="12"/>
      <c r="K171" s="13" t="s">
        <v>238</v>
      </c>
      <c r="L171" s="13" t="s">
        <v>27</v>
      </c>
      <c r="M171" s="9"/>
      <c r="N171" s="14">
        <v>40</v>
      </c>
      <c r="O171" s="15">
        <f t="shared" si="12"/>
        <v>19549.399999999998</v>
      </c>
      <c r="P171" s="16">
        <v>13</v>
      </c>
      <c r="Q171" s="17">
        <f t="shared" si="13"/>
        <v>710887</v>
      </c>
      <c r="R171" s="17">
        <f t="shared" si="14"/>
        <v>71089</v>
      </c>
      <c r="S171" s="9"/>
      <c r="T171" s="18">
        <f t="shared" si="11"/>
        <v>80843.939067548854</v>
      </c>
      <c r="U171" s="19"/>
      <c r="V171" s="20"/>
      <c r="W171" s="20"/>
      <c r="X171" s="19"/>
    </row>
    <row r="172" spans="1:24">
      <c r="A172" s="8">
        <v>20260520</v>
      </c>
      <c r="B172" s="8" t="s">
        <v>151</v>
      </c>
      <c r="C172" s="9"/>
      <c r="D172" s="9"/>
      <c r="E172" s="9"/>
      <c r="F172" s="8" t="s">
        <v>24</v>
      </c>
      <c r="G172" s="9"/>
      <c r="H172" s="10" t="s">
        <v>25</v>
      </c>
      <c r="I172" s="11">
        <v>1503.8</v>
      </c>
      <c r="J172" s="12"/>
      <c r="K172" s="13" t="s">
        <v>99</v>
      </c>
      <c r="L172" s="13" t="s">
        <v>27</v>
      </c>
      <c r="M172" s="9"/>
      <c r="N172" s="14">
        <v>100</v>
      </c>
      <c r="O172" s="15">
        <f t="shared" si="12"/>
        <v>19549.399999999998</v>
      </c>
      <c r="P172" s="16">
        <v>13</v>
      </c>
      <c r="Q172" s="17">
        <f t="shared" si="13"/>
        <v>1777218</v>
      </c>
      <c r="R172" s="17">
        <f t="shared" si="14"/>
        <v>177722</v>
      </c>
      <c r="S172" s="9"/>
      <c r="T172" s="18">
        <f t="shared" si="11"/>
        <v>202109.84766887213</v>
      </c>
      <c r="U172" s="19"/>
      <c r="V172" s="20"/>
      <c r="W172" s="20"/>
      <c r="X172" s="19"/>
    </row>
    <row r="173" spans="1:24">
      <c r="A173" s="8">
        <v>20260520</v>
      </c>
      <c r="B173" s="8" t="s">
        <v>151</v>
      </c>
      <c r="C173" s="9"/>
      <c r="D173" s="9"/>
      <c r="E173" s="9"/>
      <c r="F173" s="8" t="s">
        <v>24</v>
      </c>
      <c r="G173" s="9"/>
      <c r="H173" s="10" t="s">
        <v>25</v>
      </c>
      <c r="I173" s="11">
        <v>1503.8</v>
      </c>
      <c r="J173" s="12"/>
      <c r="K173" s="13" t="s">
        <v>119</v>
      </c>
      <c r="L173" s="13" t="s">
        <v>27</v>
      </c>
      <c r="M173" s="9"/>
      <c r="N173" s="14">
        <v>80</v>
      </c>
      <c r="O173" s="15">
        <f t="shared" si="12"/>
        <v>19549.399999999998</v>
      </c>
      <c r="P173" s="16">
        <v>13</v>
      </c>
      <c r="Q173" s="17">
        <f t="shared" si="13"/>
        <v>1421775</v>
      </c>
      <c r="R173" s="17">
        <f t="shared" si="14"/>
        <v>142178</v>
      </c>
      <c r="S173" s="9"/>
      <c r="T173" s="18">
        <f t="shared" si="11"/>
        <v>161687.87813509771</v>
      </c>
      <c r="U173" s="19"/>
      <c r="V173" s="20"/>
      <c r="W173" s="20"/>
      <c r="X173" s="19"/>
    </row>
    <row r="174" spans="1:24">
      <c r="A174" s="8">
        <v>20260520</v>
      </c>
      <c r="B174" s="8" t="s">
        <v>151</v>
      </c>
      <c r="C174" s="9"/>
      <c r="D174" s="9"/>
      <c r="E174" s="9"/>
      <c r="F174" s="8" t="s">
        <v>24</v>
      </c>
      <c r="G174" s="9"/>
      <c r="H174" s="10" t="s">
        <v>25</v>
      </c>
      <c r="I174" s="11">
        <v>1503.8</v>
      </c>
      <c r="J174" s="12"/>
      <c r="K174" s="13" t="s">
        <v>113</v>
      </c>
      <c r="L174" s="13" t="s">
        <v>27</v>
      </c>
      <c r="M174" s="9"/>
      <c r="N174" s="14">
        <v>50</v>
      </c>
      <c r="O174" s="15">
        <f t="shared" si="12"/>
        <v>19549.399999999998</v>
      </c>
      <c r="P174" s="16">
        <v>13</v>
      </c>
      <c r="Q174" s="17">
        <f t="shared" si="13"/>
        <v>888609</v>
      </c>
      <c r="R174" s="17">
        <f t="shared" si="14"/>
        <v>88861</v>
      </c>
      <c r="S174" s="9"/>
      <c r="T174" s="18">
        <f t="shared" si="11"/>
        <v>101054.92383443606</v>
      </c>
      <c r="U174" s="19"/>
      <c r="V174" s="20"/>
      <c r="W174" s="20"/>
      <c r="X174" s="19"/>
    </row>
    <row r="175" spans="1:24">
      <c r="A175" s="8">
        <v>20260520</v>
      </c>
      <c r="B175" s="8" t="s">
        <v>151</v>
      </c>
      <c r="C175" s="9"/>
      <c r="D175" s="9"/>
      <c r="E175" s="9"/>
      <c r="F175" s="8" t="s">
        <v>24</v>
      </c>
      <c r="G175" s="9"/>
      <c r="H175" s="10" t="s">
        <v>25</v>
      </c>
      <c r="I175" s="11">
        <v>1503.8</v>
      </c>
      <c r="J175" s="12"/>
      <c r="K175" s="13" t="s">
        <v>239</v>
      </c>
      <c r="L175" s="13" t="s">
        <v>27</v>
      </c>
      <c r="M175" s="9"/>
      <c r="N175" s="14">
        <v>40</v>
      </c>
      <c r="O175" s="15">
        <f t="shared" si="12"/>
        <v>19549.399999999998</v>
      </c>
      <c r="P175" s="16">
        <v>13</v>
      </c>
      <c r="Q175" s="17">
        <f t="shared" si="13"/>
        <v>710887</v>
      </c>
      <c r="R175" s="17">
        <f t="shared" si="14"/>
        <v>71089</v>
      </c>
      <c r="S175" s="9"/>
      <c r="T175" s="18">
        <f t="shared" si="11"/>
        <v>80843.939067548854</v>
      </c>
      <c r="U175" s="19"/>
      <c r="V175" s="20"/>
      <c r="W175" s="20"/>
      <c r="X175" s="19"/>
    </row>
    <row r="176" spans="1:24">
      <c r="A176" s="8">
        <v>20260520</v>
      </c>
      <c r="B176" s="8" t="s">
        <v>151</v>
      </c>
      <c r="C176" s="9"/>
      <c r="D176" s="9"/>
      <c r="E176" s="9"/>
      <c r="F176" s="8" t="s">
        <v>24</v>
      </c>
      <c r="G176" s="9"/>
      <c r="H176" s="10" t="s">
        <v>25</v>
      </c>
      <c r="I176" s="11">
        <v>1503.8</v>
      </c>
      <c r="J176" s="12"/>
      <c r="K176" s="13" t="s">
        <v>240</v>
      </c>
      <c r="L176" s="13" t="s">
        <v>27</v>
      </c>
      <c r="M176" s="9"/>
      <c r="N176" s="14">
        <v>80</v>
      </c>
      <c r="O176" s="15">
        <f t="shared" si="12"/>
        <v>19549.399999999998</v>
      </c>
      <c r="P176" s="16">
        <v>13</v>
      </c>
      <c r="Q176" s="17">
        <f t="shared" si="13"/>
        <v>1421775</v>
      </c>
      <c r="R176" s="17">
        <f t="shared" si="14"/>
        <v>142178</v>
      </c>
      <c r="S176" s="9"/>
      <c r="T176" s="18">
        <f t="shared" si="11"/>
        <v>161687.87813509771</v>
      </c>
      <c r="U176" s="19"/>
      <c r="V176" s="20"/>
      <c r="W176" s="20"/>
      <c r="X176" s="19"/>
    </row>
    <row r="177" spans="1:24">
      <c r="A177" s="8">
        <v>20260520</v>
      </c>
      <c r="B177" s="8" t="s">
        <v>151</v>
      </c>
      <c r="C177" s="9"/>
      <c r="D177" s="9"/>
      <c r="E177" s="9"/>
      <c r="F177" s="8" t="s">
        <v>24</v>
      </c>
      <c r="G177" s="9"/>
      <c r="H177" s="10" t="s">
        <v>25</v>
      </c>
      <c r="I177" s="11">
        <v>1503.8</v>
      </c>
      <c r="J177" s="12"/>
      <c r="K177" s="13" t="s">
        <v>241</v>
      </c>
      <c r="L177" s="13" t="s">
        <v>27</v>
      </c>
      <c r="M177" s="9"/>
      <c r="N177" s="14">
        <v>50</v>
      </c>
      <c r="O177" s="15">
        <f t="shared" si="12"/>
        <v>19549.399999999998</v>
      </c>
      <c r="P177" s="16">
        <v>13</v>
      </c>
      <c r="Q177" s="17">
        <f t="shared" si="13"/>
        <v>888609</v>
      </c>
      <c r="R177" s="17">
        <f t="shared" si="14"/>
        <v>88861</v>
      </c>
      <c r="S177" s="9"/>
      <c r="T177" s="18">
        <f t="shared" si="11"/>
        <v>101054.92383443606</v>
      </c>
      <c r="U177" s="19"/>
      <c r="V177" s="20"/>
      <c r="W177" s="20"/>
      <c r="X177" s="19"/>
    </row>
    <row r="178" spans="1:24">
      <c r="A178" s="8">
        <v>20260520</v>
      </c>
      <c r="B178" s="8" t="s">
        <v>151</v>
      </c>
      <c r="C178" s="9"/>
      <c r="D178" s="9"/>
      <c r="E178" s="9"/>
      <c r="F178" s="8" t="s">
        <v>24</v>
      </c>
      <c r="G178" s="9"/>
      <c r="H178" s="10" t="s">
        <v>25</v>
      </c>
      <c r="I178" s="11">
        <v>1503.8</v>
      </c>
      <c r="J178" s="12"/>
      <c r="K178" s="13" t="s">
        <v>242</v>
      </c>
      <c r="L178" s="13" t="s">
        <v>27</v>
      </c>
      <c r="M178" s="9"/>
      <c r="N178" s="14">
        <v>60</v>
      </c>
      <c r="O178" s="15">
        <f t="shared" si="12"/>
        <v>19549.399999999998</v>
      </c>
      <c r="P178" s="16">
        <v>13</v>
      </c>
      <c r="Q178" s="17">
        <f t="shared" si="13"/>
        <v>1066331</v>
      </c>
      <c r="R178" s="17">
        <f t="shared" si="14"/>
        <v>106633</v>
      </c>
      <c r="S178" s="9"/>
      <c r="T178" s="18">
        <f t="shared" si="11"/>
        <v>121265.90860132329</v>
      </c>
      <c r="U178" s="19"/>
      <c r="V178" s="20"/>
      <c r="W178" s="20"/>
      <c r="X178" s="19"/>
    </row>
    <row r="179" spans="1:24">
      <c r="A179" s="8">
        <v>20260520</v>
      </c>
      <c r="B179" s="8" t="s">
        <v>151</v>
      </c>
      <c r="C179" s="9"/>
      <c r="D179" s="9"/>
      <c r="E179" s="9"/>
      <c r="F179" s="8" t="s">
        <v>24</v>
      </c>
      <c r="G179" s="9"/>
      <c r="H179" s="10" t="s">
        <v>25</v>
      </c>
      <c r="I179" s="11">
        <v>1503.8</v>
      </c>
      <c r="J179" s="12"/>
      <c r="K179" s="13" t="s">
        <v>114</v>
      </c>
      <c r="L179" s="13" t="s">
        <v>27</v>
      </c>
      <c r="M179" s="9"/>
      <c r="N179" s="14">
        <v>50</v>
      </c>
      <c r="O179" s="15">
        <f t="shared" si="12"/>
        <v>19549.399999999998</v>
      </c>
      <c r="P179" s="16">
        <v>13</v>
      </c>
      <c r="Q179" s="17">
        <f t="shared" si="13"/>
        <v>888609</v>
      </c>
      <c r="R179" s="17">
        <f t="shared" si="14"/>
        <v>88861</v>
      </c>
      <c r="S179" s="9"/>
      <c r="T179" s="18">
        <f t="shared" si="11"/>
        <v>101054.92383443606</v>
      </c>
      <c r="U179" s="19"/>
      <c r="V179" s="20"/>
      <c r="W179" s="20"/>
      <c r="X179" s="19"/>
    </row>
    <row r="180" spans="1:24">
      <c r="A180" s="8">
        <v>20260520</v>
      </c>
      <c r="B180" s="8" t="s">
        <v>151</v>
      </c>
      <c r="C180" s="9"/>
      <c r="D180" s="9"/>
      <c r="E180" s="9"/>
      <c r="F180" s="8" t="s">
        <v>24</v>
      </c>
      <c r="G180" s="9"/>
      <c r="H180" s="10" t="s">
        <v>25</v>
      </c>
      <c r="I180" s="11">
        <v>1503.8</v>
      </c>
      <c r="J180" s="12"/>
      <c r="K180" s="13" t="s">
        <v>101</v>
      </c>
      <c r="L180" s="13" t="s">
        <v>27</v>
      </c>
      <c r="M180" s="9"/>
      <c r="N180" s="14">
        <v>50</v>
      </c>
      <c r="O180" s="15">
        <f t="shared" si="12"/>
        <v>19549.399999999998</v>
      </c>
      <c r="P180" s="16">
        <v>13</v>
      </c>
      <c r="Q180" s="17">
        <f t="shared" si="13"/>
        <v>888609</v>
      </c>
      <c r="R180" s="17">
        <f t="shared" si="14"/>
        <v>88861</v>
      </c>
      <c r="S180" s="9"/>
      <c r="T180" s="18">
        <f t="shared" si="11"/>
        <v>101054.92383443606</v>
      </c>
      <c r="U180" s="19"/>
      <c r="V180" s="20"/>
      <c r="W180" s="20"/>
      <c r="X180" s="19"/>
    </row>
    <row r="181" spans="1:24">
      <c r="A181" s="8">
        <v>20260520</v>
      </c>
      <c r="B181" s="8" t="s">
        <v>151</v>
      </c>
      <c r="C181" s="9"/>
      <c r="D181" s="9"/>
      <c r="E181" s="9"/>
      <c r="F181" s="8" t="s">
        <v>24</v>
      </c>
      <c r="G181" s="9"/>
      <c r="H181" s="10" t="s">
        <v>25</v>
      </c>
      <c r="I181" s="11">
        <v>1503.8</v>
      </c>
      <c r="J181" s="12"/>
      <c r="K181" s="13" t="s">
        <v>112</v>
      </c>
      <c r="L181" s="13" t="s">
        <v>27</v>
      </c>
      <c r="M181" s="9"/>
      <c r="N181" s="14">
        <v>100</v>
      </c>
      <c r="O181" s="15">
        <f t="shared" si="12"/>
        <v>19549.399999999998</v>
      </c>
      <c r="P181" s="16">
        <v>13</v>
      </c>
      <c r="Q181" s="17">
        <f t="shared" si="13"/>
        <v>1777218</v>
      </c>
      <c r="R181" s="17">
        <f t="shared" si="14"/>
        <v>177722</v>
      </c>
      <c r="S181" s="9"/>
      <c r="T181" s="18">
        <f t="shared" si="11"/>
        <v>202109.84766887213</v>
      </c>
      <c r="U181" s="19"/>
      <c r="V181" s="20"/>
      <c r="W181" s="20"/>
      <c r="X181" s="19"/>
    </row>
    <row r="182" spans="1:24">
      <c r="A182" s="8">
        <v>20260520</v>
      </c>
      <c r="B182" s="8" t="s">
        <v>151</v>
      </c>
      <c r="C182" s="9"/>
      <c r="D182" s="9"/>
      <c r="E182" s="9"/>
      <c r="F182" s="8" t="s">
        <v>24</v>
      </c>
      <c r="G182" s="9"/>
      <c r="H182" s="10" t="s">
        <v>25</v>
      </c>
      <c r="I182" s="11">
        <v>1503.8</v>
      </c>
      <c r="J182" s="12"/>
      <c r="K182" s="13" t="s">
        <v>118</v>
      </c>
      <c r="L182" s="13" t="s">
        <v>27</v>
      </c>
      <c r="M182" s="9"/>
      <c r="N182" s="14">
        <v>30</v>
      </c>
      <c r="O182" s="15">
        <f t="shared" si="12"/>
        <v>19549.399999999998</v>
      </c>
      <c r="P182" s="16">
        <v>13</v>
      </c>
      <c r="Q182" s="17">
        <f t="shared" si="13"/>
        <v>533165</v>
      </c>
      <c r="R182" s="17">
        <f t="shared" si="14"/>
        <v>53317</v>
      </c>
      <c r="S182" s="9"/>
      <c r="T182" s="18">
        <f t="shared" si="11"/>
        <v>60632.954300661644</v>
      </c>
      <c r="U182" s="19"/>
      <c r="V182" s="20"/>
      <c r="W182" s="20"/>
      <c r="X182" s="19"/>
    </row>
    <row r="183" spans="1:24">
      <c r="A183" s="8">
        <v>20260520</v>
      </c>
      <c r="B183" s="8" t="s">
        <v>151</v>
      </c>
      <c r="C183" s="9"/>
      <c r="D183" s="9"/>
      <c r="E183" s="9"/>
      <c r="F183" s="8" t="s">
        <v>24</v>
      </c>
      <c r="G183" s="9"/>
      <c r="H183" s="10" t="s">
        <v>25</v>
      </c>
      <c r="I183" s="11">
        <v>1503.8</v>
      </c>
      <c r="J183" s="12"/>
      <c r="K183" s="13" t="s">
        <v>243</v>
      </c>
      <c r="L183" s="13" t="s">
        <v>27</v>
      </c>
      <c r="M183" s="9"/>
      <c r="N183" s="14">
        <v>30</v>
      </c>
      <c r="O183" s="15">
        <f t="shared" si="12"/>
        <v>19549.399999999998</v>
      </c>
      <c r="P183" s="16">
        <v>13</v>
      </c>
      <c r="Q183" s="17">
        <f t="shared" si="13"/>
        <v>533165</v>
      </c>
      <c r="R183" s="17">
        <f t="shared" si="14"/>
        <v>53317</v>
      </c>
      <c r="S183" s="9"/>
      <c r="T183" s="18">
        <f t="shared" si="11"/>
        <v>60632.954300661644</v>
      </c>
      <c r="U183" s="19"/>
      <c r="V183" s="20"/>
      <c r="W183" s="20"/>
      <c r="X183" s="19"/>
    </row>
    <row r="184" spans="1:24">
      <c r="A184" s="8">
        <v>20260520</v>
      </c>
      <c r="B184" s="8" t="s">
        <v>151</v>
      </c>
      <c r="C184" s="9"/>
      <c r="D184" s="9"/>
      <c r="E184" s="9"/>
      <c r="F184" s="8" t="s">
        <v>24</v>
      </c>
      <c r="G184" s="9"/>
      <c r="H184" s="10" t="s">
        <v>25</v>
      </c>
      <c r="I184" s="11">
        <v>1503.8</v>
      </c>
      <c r="J184" s="12"/>
      <c r="K184" s="13" t="s">
        <v>121</v>
      </c>
      <c r="L184" s="13" t="s">
        <v>27</v>
      </c>
      <c r="M184" s="9"/>
      <c r="N184" s="14">
        <v>20</v>
      </c>
      <c r="O184" s="15">
        <f t="shared" si="12"/>
        <v>19549.399999999998</v>
      </c>
      <c r="P184" s="16">
        <v>13</v>
      </c>
      <c r="Q184" s="17">
        <f t="shared" si="13"/>
        <v>355444</v>
      </c>
      <c r="R184" s="17">
        <f t="shared" si="14"/>
        <v>35544</v>
      </c>
      <c r="S184" s="9"/>
      <c r="T184" s="18">
        <f t="shared" si="11"/>
        <v>40421.969533774427</v>
      </c>
      <c r="U184" s="19"/>
      <c r="V184" s="20"/>
      <c r="W184" s="20"/>
      <c r="X184" s="19"/>
    </row>
    <row r="185" spans="1:24">
      <c r="A185" s="8">
        <v>20260520</v>
      </c>
      <c r="B185" s="8" t="s">
        <v>151</v>
      </c>
      <c r="C185" s="9"/>
      <c r="D185" s="9"/>
      <c r="E185" s="9"/>
      <c r="F185" s="8" t="s">
        <v>24</v>
      </c>
      <c r="G185" s="9"/>
      <c r="H185" s="10" t="s">
        <v>25</v>
      </c>
      <c r="I185" s="11">
        <v>1503.8</v>
      </c>
      <c r="J185" s="12"/>
      <c r="K185" s="13" t="s">
        <v>28</v>
      </c>
      <c r="L185" s="13" t="s">
        <v>27</v>
      </c>
      <c r="M185" s="9"/>
      <c r="N185" s="14">
        <v>80</v>
      </c>
      <c r="O185" s="15">
        <f t="shared" si="12"/>
        <v>19549.399999999998</v>
      </c>
      <c r="P185" s="16">
        <v>13</v>
      </c>
      <c r="Q185" s="17">
        <f t="shared" si="13"/>
        <v>1421775</v>
      </c>
      <c r="R185" s="17">
        <f t="shared" si="14"/>
        <v>142178</v>
      </c>
      <c r="S185" s="9"/>
      <c r="T185" s="18">
        <f t="shared" si="11"/>
        <v>161687.87813509771</v>
      </c>
      <c r="U185" s="19"/>
      <c r="V185" s="20"/>
      <c r="W185" s="20"/>
      <c r="X185" s="19"/>
    </row>
    <row r="186" spans="1:24">
      <c r="A186" s="8">
        <v>20260520</v>
      </c>
      <c r="B186" s="8" t="s">
        <v>151</v>
      </c>
      <c r="C186" s="9"/>
      <c r="D186" s="9"/>
      <c r="E186" s="9"/>
      <c r="F186" s="8" t="s">
        <v>24</v>
      </c>
      <c r="G186" s="9"/>
      <c r="H186" s="10" t="s">
        <v>25</v>
      </c>
      <c r="I186" s="11">
        <v>1503.8</v>
      </c>
      <c r="J186" s="12"/>
      <c r="K186" s="13" t="s">
        <v>29</v>
      </c>
      <c r="L186" s="13" t="s">
        <v>27</v>
      </c>
      <c r="M186" s="9"/>
      <c r="N186" s="14">
        <v>10</v>
      </c>
      <c r="O186" s="15">
        <f t="shared" si="12"/>
        <v>19549.399999999998</v>
      </c>
      <c r="P186" s="16">
        <v>13</v>
      </c>
      <c r="Q186" s="17">
        <f t="shared" si="13"/>
        <v>177722</v>
      </c>
      <c r="R186" s="17">
        <f t="shared" si="14"/>
        <v>17772</v>
      </c>
      <c r="S186" s="9"/>
      <c r="T186" s="18">
        <f t="shared" si="11"/>
        <v>20210.984766887213</v>
      </c>
      <c r="U186" s="19"/>
      <c r="V186" s="20"/>
      <c r="W186" s="20"/>
      <c r="X186" s="19"/>
    </row>
    <row r="187" spans="1:24">
      <c r="A187" s="8">
        <v>20260520</v>
      </c>
      <c r="B187" s="8" t="s">
        <v>151</v>
      </c>
      <c r="C187" s="9"/>
      <c r="D187" s="9"/>
      <c r="E187" s="9"/>
      <c r="F187" s="8" t="s">
        <v>24</v>
      </c>
      <c r="G187" s="9"/>
      <c r="H187" s="10" t="s">
        <v>25</v>
      </c>
      <c r="I187" s="11">
        <v>1503.8</v>
      </c>
      <c r="J187" s="12"/>
      <c r="K187" s="13" t="s">
        <v>115</v>
      </c>
      <c r="L187" s="13" t="s">
        <v>27</v>
      </c>
      <c r="M187" s="9"/>
      <c r="N187" s="14">
        <v>20</v>
      </c>
      <c r="O187" s="15">
        <f t="shared" si="12"/>
        <v>19549.399999999998</v>
      </c>
      <c r="P187" s="16">
        <v>13</v>
      </c>
      <c r="Q187" s="17">
        <f t="shared" si="13"/>
        <v>355444</v>
      </c>
      <c r="R187" s="17">
        <f t="shared" si="14"/>
        <v>35544</v>
      </c>
      <c r="S187" s="9"/>
      <c r="T187" s="18">
        <f t="shared" si="11"/>
        <v>40421.969533774427</v>
      </c>
      <c r="U187" s="19"/>
      <c r="V187" s="20"/>
      <c r="W187" s="20"/>
      <c r="X187" s="19"/>
    </row>
    <row r="188" spans="1:24">
      <c r="A188" s="8">
        <v>20260520</v>
      </c>
      <c r="B188" s="8" t="s">
        <v>151</v>
      </c>
      <c r="C188" s="9"/>
      <c r="D188" s="9"/>
      <c r="E188" s="9"/>
      <c r="F188" s="8" t="s">
        <v>24</v>
      </c>
      <c r="G188" s="9"/>
      <c r="H188" s="10" t="s">
        <v>25</v>
      </c>
      <c r="I188" s="11">
        <v>1503.8</v>
      </c>
      <c r="J188" s="12"/>
      <c r="K188" s="13" t="s">
        <v>244</v>
      </c>
      <c r="L188" s="13" t="s">
        <v>27</v>
      </c>
      <c r="M188" s="9"/>
      <c r="N188" s="14">
        <v>20</v>
      </c>
      <c r="O188" s="15">
        <f t="shared" si="12"/>
        <v>19549.399999999998</v>
      </c>
      <c r="P188" s="16">
        <v>13</v>
      </c>
      <c r="Q188" s="17">
        <f t="shared" si="13"/>
        <v>355444</v>
      </c>
      <c r="R188" s="17">
        <f t="shared" si="14"/>
        <v>35544</v>
      </c>
      <c r="S188" s="9"/>
      <c r="T188" s="18">
        <f t="shared" si="11"/>
        <v>40421.969533774427</v>
      </c>
      <c r="U188" s="19"/>
      <c r="V188" s="20"/>
      <c r="W188" s="20"/>
      <c r="X188" s="19"/>
    </row>
    <row r="189" spans="1:24">
      <c r="A189" s="8">
        <v>20260520</v>
      </c>
      <c r="B189" s="8" t="s">
        <v>151</v>
      </c>
      <c r="C189" s="9"/>
      <c r="D189" s="9"/>
      <c r="E189" s="9"/>
      <c r="F189" s="8" t="s">
        <v>24</v>
      </c>
      <c r="G189" s="9"/>
      <c r="H189" s="10" t="s">
        <v>25</v>
      </c>
      <c r="I189" s="11">
        <v>1503.8</v>
      </c>
      <c r="J189" s="12"/>
      <c r="K189" s="13" t="s">
        <v>111</v>
      </c>
      <c r="L189" s="13" t="s">
        <v>27</v>
      </c>
      <c r="M189" s="9"/>
      <c r="N189" s="14">
        <v>130</v>
      </c>
      <c r="O189" s="15">
        <f t="shared" si="12"/>
        <v>19549.399999999998</v>
      </c>
      <c r="P189" s="16">
        <v>13</v>
      </c>
      <c r="Q189" s="17">
        <f t="shared" si="13"/>
        <v>2310384</v>
      </c>
      <c r="R189" s="17">
        <f t="shared" si="14"/>
        <v>231038</v>
      </c>
      <c r="S189" s="9"/>
      <c r="T189" s="18">
        <f t="shared" si="11"/>
        <v>262742.80196953379</v>
      </c>
      <c r="U189" s="19"/>
      <c r="V189" s="20"/>
      <c r="W189" s="20"/>
      <c r="X189" s="19"/>
    </row>
    <row r="190" spans="1:24">
      <c r="A190" s="8">
        <v>20260520</v>
      </c>
      <c r="B190" s="8" t="s">
        <v>151</v>
      </c>
      <c r="C190" s="9"/>
      <c r="D190" s="9"/>
      <c r="E190" s="9"/>
      <c r="F190" s="8" t="s">
        <v>24</v>
      </c>
      <c r="G190" s="9"/>
      <c r="H190" s="10" t="s">
        <v>25</v>
      </c>
      <c r="I190" s="11">
        <v>1503.8</v>
      </c>
      <c r="J190" s="12"/>
      <c r="K190" s="13" t="s">
        <v>245</v>
      </c>
      <c r="L190" s="13" t="s">
        <v>27</v>
      </c>
      <c r="M190" s="9"/>
      <c r="N190" s="14">
        <v>50</v>
      </c>
      <c r="O190" s="15">
        <f t="shared" si="12"/>
        <v>19549.399999999998</v>
      </c>
      <c r="P190" s="16">
        <v>13</v>
      </c>
      <c r="Q190" s="17">
        <f t="shared" si="13"/>
        <v>888609</v>
      </c>
      <c r="R190" s="17">
        <f t="shared" si="14"/>
        <v>88861</v>
      </c>
      <c r="S190" s="9"/>
      <c r="T190" s="18">
        <f t="shared" si="11"/>
        <v>101054.92383443606</v>
      </c>
      <c r="U190" s="19"/>
      <c r="V190" s="20"/>
      <c r="W190" s="20"/>
      <c r="X190" s="19"/>
    </row>
    <row r="191" spans="1:24">
      <c r="A191" s="8">
        <v>20260520</v>
      </c>
      <c r="B191" s="8" t="s">
        <v>151</v>
      </c>
      <c r="C191" s="9"/>
      <c r="D191" s="9"/>
      <c r="E191" s="9"/>
      <c r="F191" s="8" t="s">
        <v>24</v>
      </c>
      <c r="G191" s="9"/>
      <c r="H191" s="10" t="s">
        <v>25</v>
      </c>
      <c r="I191" s="11">
        <v>1503.8</v>
      </c>
      <c r="J191" s="12"/>
      <c r="K191" s="13" t="s">
        <v>98</v>
      </c>
      <c r="L191" s="13" t="s">
        <v>27</v>
      </c>
      <c r="M191" s="9"/>
      <c r="N191" s="14">
        <v>20</v>
      </c>
      <c r="O191" s="15">
        <f t="shared" si="12"/>
        <v>19549.399999999998</v>
      </c>
      <c r="P191" s="16">
        <v>13</v>
      </c>
      <c r="Q191" s="17">
        <f t="shared" si="13"/>
        <v>355444</v>
      </c>
      <c r="R191" s="17">
        <f t="shared" si="14"/>
        <v>35544</v>
      </c>
      <c r="S191" s="9"/>
      <c r="T191" s="18">
        <f t="shared" si="11"/>
        <v>40421.969533774427</v>
      </c>
      <c r="U191" s="19"/>
      <c r="V191" s="20"/>
      <c r="W191" s="20"/>
      <c r="X191" s="19"/>
    </row>
    <row r="192" spans="1:24">
      <c r="A192" s="8">
        <v>20260520</v>
      </c>
      <c r="B192" s="8" t="s">
        <v>151</v>
      </c>
      <c r="C192" s="9"/>
      <c r="D192" s="9"/>
      <c r="E192" s="9"/>
      <c r="F192" s="8" t="s">
        <v>24</v>
      </c>
      <c r="G192" s="9"/>
      <c r="H192" s="10" t="s">
        <v>25</v>
      </c>
      <c r="I192" s="11">
        <v>1503.8</v>
      </c>
      <c r="J192" s="12"/>
      <c r="K192" s="13" t="s">
        <v>102</v>
      </c>
      <c r="L192" s="13" t="s">
        <v>27</v>
      </c>
      <c r="M192" s="9"/>
      <c r="N192" s="14">
        <v>30</v>
      </c>
      <c r="O192" s="15">
        <f t="shared" si="12"/>
        <v>19549.399999999998</v>
      </c>
      <c r="P192" s="16">
        <v>13</v>
      </c>
      <c r="Q192" s="17">
        <f t="shared" si="13"/>
        <v>533165</v>
      </c>
      <c r="R192" s="17">
        <f t="shared" si="14"/>
        <v>53317</v>
      </c>
      <c r="S192" s="9"/>
      <c r="T192" s="18">
        <f t="shared" si="11"/>
        <v>60632.954300661644</v>
      </c>
      <c r="U192" s="19"/>
      <c r="V192" s="20"/>
      <c r="W192" s="20"/>
      <c r="X192" s="19"/>
    </row>
    <row r="193" spans="1:24">
      <c r="A193" s="8">
        <v>20260520</v>
      </c>
      <c r="B193" s="8" t="s">
        <v>151</v>
      </c>
      <c r="C193" s="9"/>
      <c r="D193" s="9"/>
      <c r="E193" s="9"/>
      <c r="F193" s="8" t="s">
        <v>24</v>
      </c>
      <c r="G193" s="9"/>
      <c r="H193" s="10" t="s">
        <v>25</v>
      </c>
      <c r="I193" s="11">
        <v>1503.8</v>
      </c>
      <c r="J193" s="12"/>
      <c r="K193" s="13" t="s">
        <v>97</v>
      </c>
      <c r="L193" s="13" t="s">
        <v>27</v>
      </c>
      <c r="M193" s="9"/>
      <c r="N193" s="14">
        <v>50</v>
      </c>
      <c r="O193" s="15">
        <f t="shared" si="12"/>
        <v>19549.399999999998</v>
      </c>
      <c r="P193" s="16">
        <v>13</v>
      </c>
      <c r="Q193" s="17">
        <f t="shared" si="13"/>
        <v>888609</v>
      </c>
      <c r="R193" s="17">
        <f t="shared" si="14"/>
        <v>88861</v>
      </c>
      <c r="S193" s="9"/>
      <c r="T193" s="18">
        <f t="shared" si="11"/>
        <v>101054.92383443606</v>
      </c>
      <c r="U193" s="19"/>
      <c r="V193" s="20"/>
      <c r="W193" s="20"/>
      <c r="X193" s="19"/>
    </row>
    <row r="194" spans="1:24">
      <c r="A194" s="8">
        <v>20260520</v>
      </c>
      <c r="B194" s="8" t="s">
        <v>151</v>
      </c>
      <c r="C194" s="9"/>
      <c r="D194" s="9"/>
      <c r="E194" s="9"/>
      <c r="F194" s="8" t="s">
        <v>24</v>
      </c>
      <c r="G194" s="9"/>
      <c r="H194" s="10" t="s">
        <v>25</v>
      </c>
      <c r="I194" s="11">
        <v>1503.8</v>
      </c>
      <c r="J194" s="12"/>
      <c r="K194" s="13" t="s">
        <v>100</v>
      </c>
      <c r="L194" s="13" t="s">
        <v>27</v>
      </c>
      <c r="M194" s="9"/>
      <c r="N194" s="14">
        <v>50</v>
      </c>
      <c r="O194" s="15">
        <f t="shared" si="12"/>
        <v>19549.399999999998</v>
      </c>
      <c r="P194" s="16">
        <v>13</v>
      </c>
      <c r="Q194" s="17">
        <f t="shared" si="13"/>
        <v>888609</v>
      </c>
      <c r="R194" s="17">
        <f t="shared" si="14"/>
        <v>88861</v>
      </c>
      <c r="S194" s="9"/>
      <c r="T194" s="18">
        <f t="shared" si="11"/>
        <v>101054.92383443606</v>
      </c>
      <c r="U194" s="19"/>
      <c r="V194" s="20"/>
      <c r="W194" s="20"/>
      <c r="X194" s="19"/>
    </row>
    <row r="195" spans="1:24">
      <c r="A195" s="8">
        <v>20260520</v>
      </c>
      <c r="B195" s="8" t="s">
        <v>151</v>
      </c>
      <c r="C195" s="9"/>
      <c r="D195" s="9"/>
      <c r="E195" s="9"/>
      <c r="F195" s="8" t="s">
        <v>24</v>
      </c>
      <c r="G195" s="9"/>
      <c r="H195" s="10" t="s">
        <v>25</v>
      </c>
      <c r="I195" s="11">
        <v>1503.8</v>
      </c>
      <c r="J195" s="12"/>
      <c r="K195" s="13" t="s">
        <v>122</v>
      </c>
      <c r="L195" s="13" t="s">
        <v>27</v>
      </c>
      <c r="M195" s="9"/>
      <c r="N195" s="14">
        <v>40</v>
      </c>
      <c r="O195" s="15">
        <f t="shared" si="12"/>
        <v>19549.399999999998</v>
      </c>
      <c r="P195" s="16">
        <v>13</v>
      </c>
      <c r="Q195" s="17">
        <f t="shared" si="13"/>
        <v>710887</v>
      </c>
      <c r="R195" s="17">
        <f t="shared" si="14"/>
        <v>71089</v>
      </c>
      <c r="S195" s="9"/>
      <c r="T195" s="18">
        <f t="shared" ref="T195:T205" si="15">$Y$2/12998*N195</f>
        <v>80843.939067548854</v>
      </c>
      <c r="U195" s="19"/>
      <c r="V195" s="20"/>
      <c r="W195" s="20"/>
      <c r="X195" s="19"/>
    </row>
    <row r="196" spans="1:24">
      <c r="A196" s="8">
        <v>20260520</v>
      </c>
      <c r="B196" s="8" t="s">
        <v>151</v>
      </c>
      <c r="C196" s="9"/>
      <c r="D196" s="9"/>
      <c r="E196" s="9"/>
      <c r="F196" s="8" t="s">
        <v>24</v>
      </c>
      <c r="G196" s="9"/>
      <c r="H196" s="10" t="s">
        <v>25</v>
      </c>
      <c r="I196" s="11">
        <v>1503.8</v>
      </c>
      <c r="J196" s="12"/>
      <c r="K196" s="13" t="s">
        <v>26</v>
      </c>
      <c r="L196" s="13" t="s">
        <v>27</v>
      </c>
      <c r="M196" s="9"/>
      <c r="N196" s="14">
        <v>30</v>
      </c>
      <c r="O196" s="15">
        <f t="shared" si="12"/>
        <v>19549.399999999998</v>
      </c>
      <c r="P196" s="16">
        <v>13</v>
      </c>
      <c r="Q196" s="17">
        <f t="shared" si="13"/>
        <v>533165</v>
      </c>
      <c r="R196" s="17">
        <f t="shared" si="14"/>
        <v>53317</v>
      </c>
      <c r="S196" s="9"/>
      <c r="T196" s="18">
        <f t="shared" si="15"/>
        <v>60632.954300661644</v>
      </c>
      <c r="U196" s="19"/>
      <c r="V196" s="20"/>
      <c r="W196" s="20"/>
      <c r="X196" s="19"/>
    </row>
    <row r="197" spans="1:24">
      <c r="A197" s="8">
        <v>20260520</v>
      </c>
      <c r="B197" s="8" t="s">
        <v>151</v>
      </c>
      <c r="C197" s="9"/>
      <c r="D197" s="9"/>
      <c r="E197" s="9"/>
      <c r="F197" s="8" t="s">
        <v>24</v>
      </c>
      <c r="G197" s="9"/>
      <c r="H197" s="10" t="s">
        <v>25</v>
      </c>
      <c r="I197" s="11">
        <v>1503.8</v>
      </c>
      <c r="J197" s="12"/>
      <c r="K197" s="13" t="s">
        <v>30</v>
      </c>
      <c r="L197" s="13" t="s">
        <v>27</v>
      </c>
      <c r="M197" s="9"/>
      <c r="N197" s="14">
        <v>30</v>
      </c>
      <c r="O197" s="15">
        <f t="shared" si="12"/>
        <v>19549.399999999998</v>
      </c>
      <c r="P197" s="16">
        <v>13</v>
      </c>
      <c r="Q197" s="17">
        <f t="shared" si="13"/>
        <v>533165</v>
      </c>
      <c r="R197" s="17">
        <f t="shared" si="14"/>
        <v>53317</v>
      </c>
      <c r="S197" s="9"/>
      <c r="T197" s="18">
        <f t="shared" si="15"/>
        <v>60632.954300661644</v>
      </c>
      <c r="U197" s="19"/>
      <c r="V197" s="20"/>
      <c r="W197" s="20"/>
      <c r="X197" s="19"/>
    </row>
    <row r="198" spans="1:24">
      <c r="A198" s="8">
        <v>20260520</v>
      </c>
      <c r="B198" s="8" t="s">
        <v>151</v>
      </c>
      <c r="C198" s="9"/>
      <c r="D198" s="9"/>
      <c r="E198" s="9"/>
      <c r="F198" s="8" t="s">
        <v>24</v>
      </c>
      <c r="G198" s="9"/>
      <c r="H198" s="10" t="s">
        <v>25</v>
      </c>
      <c r="I198" s="11">
        <v>1503.8</v>
      </c>
      <c r="J198" s="12"/>
      <c r="K198" s="13" t="s">
        <v>120</v>
      </c>
      <c r="L198" s="13" t="s">
        <v>27</v>
      </c>
      <c r="M198" s="9"/>
      <c r="N198" s="14">
        <v>150</v>
      </c>
      <c r="O198" s="15">
        <f t="shared" si="12"/>
        <v>19549.399999999998</v>
      </c>
      <c r="P198" s="16">
        <v>13</v>
      </c>
      <c r="Q198" s="17">
        <f t="shared" si="13"/>
        <v>2665827</v>
      </c>
      <c r="R198" s="17">
        <f t="shared" si="14"/>
        <v>266583</v>
      </c>
      <c r="S198" s="9"/>
      <c r="T198" s="18">
        <f t="shared" si="15"/>
        <v>303164.77150330821</v>
      </c>
      <c r="U198" s="19"/>
      <c r="V198" s="20"/>
      <c r="W198" s="20"/>
      <c r="X198" s="19"/>
    </row>
    <row r="199" spans="1:24">
      <c r="A199" s="8">
        <v>20260520</v>
      </c>
      <c r="B199" s="8" t="s">
        <v>151</v>
      </c>
      <c r="C199" s="9"/>
      <c r="D199" s="9"/>
      <c r="E199" s="9"/>
      <c r="F199" s="8" t="s">
        <v>24</v>
      </c>
      <c r="G199" s="9"/>
      <c r="H199" s="10" t="s">
        <v>25</v>
      </c>
      <c r="I199" s="11">
        <v>1503.8</v>
      </c>
      <c r="J199" s="12"/>
      <c r="K199" s="13" t="s">
        <v>32</v>
      </c>
      <c r="L199" s="13" t="s">
        <v>27</v>
      </c>
      <c r="M199" s="9"/>
      <c r="N199" s="14">
        <v>50</v>
      </c>
      <c r="O199" s="15">
        <f t="shared" si="12"/>
        <v>19549.399999999998</v>
      </c>
      <c r="P199" s="16">
        <v>13</v>
      </c>
      <c r="Q199" s="17">
        <f t="shared" si="13"/>
        <v>888609</v>
      </c>
      <c r="R199" s="17">
        <f t="shared" si="14"/>
        <v>88861</v>
      </c>
      <c r="S199" s="9"/>
      <c r="T199" s="18">
        <f t="shared" si="15"/>
        <v>101054.92383443606</v>
      </c>
      <c r="U199" s="19"/>
      <c r="V199" s="20"/>
      <c r="W199" s="20"/>
      <c r="X199" s="19"/>
    </row>
    <row r="200" spans="1:24">
      <c r="A200" s="8">
        <v>20260520</v>
      </c>
      <c r="B200" s="8" t="s">
        <v>151</v>
      </c>
      <c r="C200" s="9"/>
      <c r="D200" s="9"/>
      <c r="E200" s="9"/>
      <c r="F200" s="8" t="s">
        <v>24</v>
      </c>
      <c r="G200" s="9"/>
      <c r="H200" s="10" t="s">
        <v>25</v>
      </c>
      <c r="I200" s="11">
        <v>1503.8</v>
      </c>
      <c r="J200" s="12"/>
      <c r="K200" s="13" t="s">
        <v>116</v>
      </c>
      <c r="L200" s="13" t="s">
        <v>27</v>
      </c>
      <c r="M200" s="9"/>
      <c r="N200" s="14">
        <v>50</v>
      </c>
      <c r="O200" s="15">
        <f t="shared" si="12"/>
        <v>19549.399999999998</v>
      </c>
      <c r="P200" s="16">
        <v>13</v>
      </c>
      <c r="Q200" s="17">
        <f t="shared" si="13"/>
        <v>888609</v>
      </c>
      <c r="R200" s="17">
        <f t="shared" si="14"/>
        <v>88861</v>
      </c>
      <c r="S200" s="9"/>
      <c r="T200" s="18">
        <f t="shared" si="15"/>
        <v>101054.92383443606</v>
      </c>
      <c r="U200" s="19"/>
      <c r="V200" s="20"/>
      <c r="W200" s="20"/>
      <c r="X200" s="19"/>
    </row>
    <row r="201" spans="1:24">
      <c r="A201" s="8">
        <v>20260520</v>
      </c>
      <c r="B201" s="8" t="s">
        <v>151</v>
      </c>
      <c r="C201" s="9"/>
      <c r="D201" s="9"/>
      <c r="E201" s="9"/>
      <c r="F201" s="8" t="s">
        <v>24</v>
      </c>
      <c r="G201" s="9"/>
      <c r="H201" s="10" t="s">
        <v>25</v>
      </c>
      <c r="I201" s="11">
        <v>1503.8</v>
      </c>
      <c r="J201" s="12"/>
      <c r="K201" s="13" t="s">
        <v>117</v>
      </c>
      <c r="L201" s="13" t="s">
        <v>27</v>
      </c>
      <c r="M201" s="9"/>
      <c r="N201" s="14">
        <v>40</v>
      </c>
      <c r="O201" s="15">
        <f t="shared" si="12"/>
        <v>19549.399999999998</v>
      </c>
      <c r="P201" s="16">
        <v>13</v>
      </c>
      <c r="Q201" s="17">
        <f t="shared" si="13"/>
        <v>710887</v>
      </c>
      <c r="R201" s="17">
        <f t="shared" si="14"/>
        <v>71089</v>
      </c>
      <c r="S201" s="9"/>
      <c r="T201" s="18">
        <f t="shared" si="15"/>
        <v>80843.939067548854</v>
      </c>
      <c r="U201" s="19"/>
      <c r="V201" s="20"/>
      <c r="W201" s="20"/>
      <c r="X201" s="19"/>
    </row>
    <row r="202" spans="1:24">
      <c r="A202" s="8">
        <v>20260520</v>
      </c>
      <c r="B202" s="8" t="s">
        <v>151</v>
      </c>
      <c r="C202" s="9"/>
      <c r="D202" s="9"/>
      <c r="E202" s="9"/>
      <c r="F202" s="8" t="s">
        <v>24</v>
      </c>
      <c r="G202" s="9"/>
      <c r="H202" s="10" t="s">
        <v>25</v>
      </c>
      <c r="I202" s="11">
        <v>1503.8</v>
      </c>
      <c r="J202" s="12"/>
      <c r="K202" s="13" t="s">
        <v>246</v>
      </c>
      <c r="L202" s="13" t="s">
        <v>27</v>
      </c>
      <c r="M202" s="9"/>
      <c r="N202" s="14">
        <v>20</v>
      </c>
      <c r="O202" s="15">
        <f t="shared" si="12"/>
        <v>19549.399999999998</v>
      </c>
      <c r="P202" s="16">
        <v>13</v>
      </c>
      <c r="Q202" s="17">
        <f t="shared" si="13"/>
        <v>355444</v>
      </c>
      <c r="R202" s="17">
        <f t="shared" si="14"/>
        <v>35544</v>
      </c>
      <c r="S202" s="9"/>
      <c r="T202" s="18">
        <f t="shared" si="15"/>
        <v>40421.969533774427</v>
      </c>
      <c r="U202" s="19"/>
      <c r="V202" s="20"/>
      <c r="W202" s="20"/>
      <c r="X202" s="19"/>
    </row>
    <row r="203" spans="1:24">
      <c r="A203" s="8">
        <v>20260520</v>
      </c>
      <c r="B203" s="8" t="s">
        <v>151</v>
      </c>
      <c r="C203" s="9"/>
      <c r="D203" s="9"/>
      <c r="E203" s="9"/>
      <c r="F203" s="8" t="s">
        <v>24</v>
      </c>
      <c r="G203" s="9"/>
      <c r="H203" s="10" t="s">
        <v>25</v>
      </c>
      <c r="I203" s="11">
        <v>1503.8</v>
      </c>
      <c r="J203" s="12"/>
      <c r="K203" s="13" t="s">
        <v>247</v>
      </c>
      <c r="L203" s="13" t="s">
        <v>27</v>
      </c>
      <c r="M203" s="9"/>
      <c r="N203" s="14">
        <v>20</v>
      </c>
      <c r="O203" s="15">
        <f t="shared" si="12"/>
        <v>19549.399999999998</v>
      </c>
      <c r="P203" s="16">
        <v>13</v>
      </c>
      <c r="Q203" s="17">
        <f t="shared" si="13"/>
        <v>355444</v>
      </c>
      <c r="R203" s="17">
        <f t="shared" si="14"/>
        <v>35544</v>
      </c>
      <c r="S203" s="9"/>
      <c r="T203" s="18">
        <f t="shared" si="15"/>
        <v>40421.969533774427</v>
      </c>
      <c r="U203" s="19"/>
      <c r="V203" s="20"/>
      <c r="W203" s="20"/>
      <c r="X203" s="19"/>
    </row>
    <row r="204" spans="1:24">
      <c r="A204" s="8">
        <v>20260520</v>
      </c>
      <c r="B204" s="8" t="s">
        <v>151</v>
      </c>
      <c r="C204" s="9"/>
      <c r="D204" s="9"/>
      <c r="E204" s="9"/>
      <c r="F204" s="8" t="s">
        <v>24</v>
      </c>
      <c r="G204" s="9"/>
      <c r="H204" s="10" t="s">
        <v>25</v>
      </c>
      <c r="I204" s="11">
        <v>1503.8</v>
      </c>
      <c r="J204" s="12"/>
      <c r="K204" s="13" t="s">
        <v>248</v>
      </c>
      <c r="L204" s="13" t="s">
        <v>27</v>
      </c>
      <c r="M204" s="9"/>
      <c r="N204" s="14">
        <v>40</v>
      </c>
      <c r="O204" s="15">
        <f t="shared" si="12"/>
        <v>19549.399999999998</v>
      </c>
      <c r="P204" s="16">
        <v>13</v>
      </c>
      <c r="Q204" s="17">
        <f t="shared" si="13"/>
        <v>710887</v>
      </c>
      <c r="R204" s="17">
        <f t="shared" si="14"/>
        <v>71089</v>
      </c>
      <c r="S204" s="9"/>
      <c r="T204" s="18">
        <f t="shared" si="15"/>
        <v>80843.939067548854</v>
      </c>
      <c r="U204" s="19"/>
      <c r="V204" s="20"/>
      <c r="W204" s="20"/>
      <c r="X204" s="19"/>
    </row>
    <row r="205" spans="1:24">
      <c r="A205" s="8">
        <v>20260520</v>
      </c>
      <c r="B205" s="8" t="s">
        <v>151</v>
      </c>
      <c r="C205" s="9"/>
      <c r="D205" s="9"/>
      <c r="E205" s="9"/>
      <c r="F205" s="8" t="s">
        <v>24</v>
      </c>
      <c r="G205" s="9"/>
      <c r="H205" s="10" t="s">
        <v>25</v>
      </c>
      <c r="I205" s="11">
        <v>1503.8</v>
      </c>
      <c r="J205" s="12"/>
      <c r="K205" s="13" t="s">
        <v>31</v>
      </c>
      <c r="L205" s="13" t="s">
        <v>27</v>
      </c>
      <c r="M205" s="9"/>
      <c r="N205" s="14">
        <v>60</v>
      </c>
      <c r="O205" s="15">
        <f t="shared" si="12"/>
        <v>19549.399999999998</v>
      </c>
      <c r="P205" s="16">
        <v>13</v>
      </c>
      <c r="Q205" s="17">
        <f t="shared" si="13"/>
        <v>1066331</v>
      </c>
      <c r="R205" s="17">
        <f t="shared" si="14"/>
        <v>106633</v>
      </c>
      <c r="S205" s="9"/>
      <c r="T205" s="18">
        <f t="shared" si="15"/>
        <v>121265.90860132329</v>
      </c>
      <c r="U205" s="19"/>
      <c r="V205" s="20"/>
      <c r="W205" s="20"/>
      <c r="X205" s="19"/>
    </row>
  </sheetData>
  <autoFilter ref="A1:Y205" xr:uid="{0084DAE3-6D78-445B-80C2-9D2399021CCA}"/>
  <phoneticPr fontId="3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경영지원(김민경)</dc:creator>
  <cp:lastModifiedBy>경영지원(김민경)</cp:lastModifiedBy>
  <dcterms:created xsi:type="dcterms:W3CDTF">2026-06-17T06:41:30Z</dcterms:created>
  <dcterms:modified xsi:type="dcterms:W3CDTF">2026-06-17T06:44:09Z</dcterms:modified>
</cp:coreProperties>
</file>